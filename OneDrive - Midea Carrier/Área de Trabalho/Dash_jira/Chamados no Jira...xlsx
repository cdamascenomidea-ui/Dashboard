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eacarrierjv-my.sharepoint.com/personal/cdamasceno_mideacarrier_com/Documents/Área de Trabalho/"/>
    </mc:Choice>
  </mc:AlternateContent>
  <xr:revisionPtr revIDLastSave="499" documentId="8_{661F99BA-EDEF-46C0-A291-1CBC5DDC0EBC}" xr6:coauthVersionLast="47" xr6:coauthVersionMax="47" xr10:uidLastSave="{EA4AE6F5-9A84-47BB-8B85-B457DD66D985}"/>
  <bookViews>
    <workbookView xWindow="-108" yWindow="-108" windowWidth="23256" windowHeight="12456" xr2:uid="{728A6056-1D6A-430A-9FDB-7F778613A3DF}"/>
  </bookViews>
  <sheets>
    <sheet name="Chamados no Jira" sheetId="4" r:id="rId1"/>
    <sheet name="Feriado 2026" sheetId="6" r:id="rId2"/>
    <sheet name="Dias em Atraso" sheetId="3" r:id="rId3"/>
  </sheets>
  <definedNames>
    <definedName name="_xlnm._FilterDatabase" localSheetId="0" hidden="1">'Chamados no Jira'!$A$1:$H$1</definedName>
  </definedNames>
  <calcPr calcId="191029" iterate="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5" i="4" l="1"/>
  <c r="H346" i="4"/>
  <c r="H347" i="4"/>
  <c r="F345" i="4"/>
  <c r="G345" i="4" s="1"/>
  <c r="F346" i="4"/>
  <c r="G346" i="4" s="1"/>
  <c r="F347" i="4"/>
  <c r="G347" i="4" s="1"/>
  <c r="F3" i="4" l="1"/>
  <c r="F4" i="4"/>
  <c r="G4" i="4" s="1"/>
  <c r="H4" i="4" s="1"/>
  <c r="F5" i="4"/>
  <c r="G5" i="4" s="1"/>
  <c r="H5" i="4" s="1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F10" i="4"/>
  <c r="G10" i="4" s="1"/>
  <c r="H10" i="4" s="1"/>
  <c r="F11" i="4"/>
  <c r="G11" i="4" s="1"/>
  <c r="H11" i="4" s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F16" i="4"/>
  <c r="G16" i="4" s="1"/>
  <c r="H16" i="4" s="1"/>
  <c r="F17" i="4"/>
  <c r="G17" i="4" s="1"/>
  <c r="H17" i="4" s="1"/>
  <c r="F18" i="4"/>
  <c r="G18" i="4" s="1"/>
  <c r="H18" i="4" s="1"/>
  <c r="F19" i="4"/>
  <c r="G19" i="4" s="1"/>
  <c r="H19" i="4" s="1"/>
  <c r="F20" i="4"/>
  <c r="G20" i="4" s="1"/>
  <c r="H20" i="4" s="1"/>
  <c r="F21" i="4"/>
  <c r="G21" i="4" s="1"/>
  <c r="H21" i="4" s="1"/>
  <c r="F22" i="4"/>
  <c r="G22" i="4" s="1"/>
  <c r="H22" i="4" s="1"/>
  <c r="F23" i="4"/>
  <c r="G23" i="4" s="1"/>
  <c r="H23" i="4" s="1"/>
  <c r="F24" i="4"/>
  <c r="G24" i="4" s="1"/>
  <c r="H24" i="4" s="1"/>
  <c r="F25" i="4"/>
  <c r="G25" i="4" s="1"/>
  <c r="H25" i="4" s="1"/>
  <c r="F26" i="4"/>
  <c r="G26" i="4" s="1"/>
  <c r="H26" i="4" s="1"/>
  <c r="F27" i="4"/>
  <c r="G27" i="4" s="1"/>
  <c r="H27" i="4" s="1"/>
  <c r="F28" i="4"/>
  <c r="G28" i="4" s="1"/>
  <c r="H28" i="4" s="1"/>
  <c r="F29" i="4"/>
  <c r="G29" i="4" s="1"/>
  <c r="H29" i="4" s="1"/>
  <c r="F30" i="4"/>
  <c r="G30" i="4" s="1"/>
  <c r="H30" i="4" s="1"/>
  <c r="F31" i="4"/>
  <c r="G31" i="4" s="1"/>
  <c r="H31" i="4" s="1"/>
  <c r="F32" i="4"/>
  <c r="G32" i="4" s="1"/>
  <c r="H32" i="4" s="1"/>
  <c r="F33" i="4"/>
  <c r="G33" i="4" s="1"/>
  <c r="H33" i="4" s="1"/>
  <c r="F34" i="4"/>
  <c r="G34" i="4" s="1"/>
  <c r="H34" i="4" s="1"/>
  <c r="F35" i="4"/>
  <c r="G35" i="4" s="1"/>
  <c r="H35" i="4" s="1"/>
  <c r="F36" i="4"/>
  <c r="G36" i="4" s="1"/>
  <c r="H36" i="4" s="1"/>
  <c r="F37" i="4"/>
  <c r="G37" i="4" s="1"/>
  <c r="H37" i="4" s="1"/>
  <c r="F38" i="4"/>
  <c r="G38" i="4" s="1"/>
  <c r="H38" i="4" s="1"/>
  <c r="F39" i="4"/>
  <c r="G39" i="4" s="1"/>
  <c r="H39" i="4" s="1"/>
  <c r="F40" i="4"/>
  <c r="G40" i="4" s="1"/>
  <c r="H40" i="4" s="1"/>
  <c r="F41" i="4"/>
  <c r="G41" i="4" s="1"/>
  <c r="H41" i="4" s="1"/>
  <c r="F42" i="4"/>
  <c r="G42" i="4" s="1"/>
  <c r="H42" i="4" s="1"/>
  <c r="F43" i="4"/>
  <c r="G43" i="4" s="1"/>
  <c r="H43" i="4" s="1"/>
  <c r="F44" i="4"/>
  <c r="G44" i="4" s="1"/>
  <c r="H44" i="4" s="1"/>
  <c r="F45" i="4"/>
  <c r="G45" i="4" s="1"/>
  <c r="H45" i="4" s="1"/>
  <c r="F46" i="4"/>
  <c r="G46" i="4" s="1"/>
  <c r="H46" i="4" s="1"/>
  <c r="F47" i="4"/>
  <c r="G47" i="4" s="1"/>
  <c r="H47" i="4" s="1"/>
  <c r="F48" i="4"/>
  <c r="G48" i="4" s="1"/>
  <c r="H48" i="4" s="1"/>
  <c r="F49" i="4"/>
  <c r="G49" i="4" s="1"/>
  <c r="H49" i="4" s="1"/>
  <c r="F50" i="4"/>
  <c r="G50" i="4" s="1"/>
  <c r="H50" i="4" s="1"/>
  <c r="F51" i="4"/>
  <c r="G51" i="4" s="1"/>
  <c r="H51" i="4" s="1"/>
  <c r="F52" i="4"/>
  <c r="G52" i="4" s="1"/>
  <c r="H52" i="4" s="1"/>
  <c r="F53" i="4"/>
  <c r="G53" i="4" s="1"/>
  <c r="H53" i="4" s="1"/>
  <c r="F54" i="4"/>
  <c r="G54" i="4" s="1"/>
  <c r="H54" i="4" s="1"/>
  <c r="F55" i="4"/>
  <c r="G55" i="4" s="1"/>
  <c r="H55" i="4" s="1"/>
  <c r="F56" i="4"/>
  <c r="G56" i="4" s="1"/>
  <c r="H56" i="4" s="1"/>
  <c r="F57" i="4"/>
  <c r="G57" i="4" s="1"/>
  <c r="H57" i="4" s="1"/>
  <c r="F58" i="4"/>
  <c r="G58" i="4" s="1"/>
  <c r="H58" i="4" s="1"/>
  <c r="F59" i="4"/>
  <c r="G59" i="4" s="1"/>
  <c r="H59" i="4" s="1"/>
  <c r="F60" i="4"/>
  <c r="G60" i="4" s="1"/>
  <c r="H60" i="4" s="1"/>
  <c r="F61" i="4"/>
  <c r="G61" i="4" s="1"/>
  <c r="H61" i="4" s="1"/>
  <c r="F62" i="4"/>
  <c r="G62" i="4" s="1"/>
  <c r="H62" i="4" s="1"/>
  <c r="F63" i="4"/>
  <c r="G63" i="4" s="1"/>
  <c r="H63" i="4" s="1"/>
  <c r="F64" i="4"/>
  <c r="G64" i="4" s="1"/>
  <c r="H64" i="4" s="1"/>
  <c r="F65" i="4"/>
  <c r="G65" i="4" s="1"/>
  <c r="H65" i="4" s="1"/>
  <c r="F66" i="4"/>
  <c r="G66" i="4" s="1"/>
  <c r="H66" i="4" s="1"/>
  <c r="F67" i="4"/>
  <c r="G67" i="4" s="1"/>
  <c r="H67" i="4" s="1"/>
  <c r="F68" i="4"/>
  <c r="G68" i="4" s="1"/>
  <c r="H68" i="4" s="1"/>
  <c r="F69" i="4"/>
  <c r="G69" i="4" s="1"/>
  <c r="H69" i="4" s="1"/>
  <c r="F70" i="4"/>
  <c r="G70" i="4" s="1"/>
  <c r="H70" i="4" s="1"/>
  <c r="F71" i="4"/>
  <c r="G71" i="4" s="1"/>
  <c r="H71" i="4" s="1"/>
  <c r="F72" i="4"/>
  <c r="G72" i="4" s="1"/>
  <c r="H72" i="4" s="1"/>
  <c r="F73" i="4"/>
  <c r="G73" i="4" s="1"/>
  <c r="H73" i="4" s="1"/>
  <c r="F74" i="4"/>
  <c r="G74" i="4" s="1"/>
  <c r="H74" i="4" s="1"/>
  <c r="F75" i="4"/>
  <c r="G75" i="4" s="1"/>
  <c r="H75" i="4" s="1"/>
  <c r="F76" i="4"/>
  <c r="G76" i="4" s="1"/>
  <c r="H76" i="4" s="1"/>
  <c r="F77" i="4"/>
  <c r="G77" i="4" s="1"/>
  <c r="H77" i="4" s="1"/>
  <c r="F78" i="4"/>
  <c r="G78" i="4" s="1"/>
  <c r="H78" i="4" s="1"/>
  <c r="F79" i="4"/>
  <c r="G79" i="4" s="1"/>
  <c r="H79" i="4" s="1"/>
  <c r="F80" i="4"/>
  <c r="G80" i="4" s="1"/>
  <c r="H80" i="4" s="1"/>
  <c r="F81" i="4"/>
  <c r="G81" i="4" s="1"/>
  <c r="H81" i="4" s="1"/>
  <c r="F82" i="4"/>
  <c r="G82" i="4" s="1"/>
  <c r="H82" i="4" s="1"/>
  <c r="F83" i="4"/>
  <c r="G83" i="4" s="1"/>
  <c r="H83" i="4" s="1"/>
  <c r="F84" i="4"/>
  <c r="G84" i="4" s="1"/>
  <c r="H84" i="4" s="1"/>
  <c r="F85" i="4"/>
  <c r="G85" i="4" s="1"/>
  <c r="H85" i="4" s="1"/>
  <c r="F86" i="4"/>
  <c r="G86" i="4" s="1"/>
  <c r="H86" i="4" s="1"/>
  <c r="F87" i="4"/>
  <c r="G87" i="4" s="1"/>
  <c r="H87" i="4" s="1"/>
  <c r="F88" i="4"/>
  <c r="G88" i="4" s="1"/>
  <c r="H88" i="4" s="1"/>
  <c r="F89" i="4"/>
  <c r="G89" i="4" s="1"/>
  <c r="H89" i="4" s="1"/>
  <c r="F90" i="4"/>
  <c r="G90" i="4" s="1"/>
  <c r="H90" i="4" s="1"/>
  <c r="F91" i="4"/>
  <c r="G91" i="4" s="1"/>
  <c r="H91" i="4" s="1"/>
  <c r="F92" i="4"/>
  <c r="G92" i="4" s="1"/>
  <c r="H92" i="4" s="1"/>
  <c r="F93" i="4"/>
  <c r="G93" i="4" s="1"/>
  <c r="H93" i="4" s="1"/>
  <c r="F94" i="4"/>
  <c r="G94" i="4" s="1"/>
  <c r="H94" i="4" s="1"/>
  <c r="F95" i="4"/>
  <c r="G95" i="4" s="1"/>
  <c r="H95" i="4" s="1"/>
  <c r="F96" i="4"/>
  <c r="G96" i="4" s="1"/>
  <c r="H96" i="4" s="1"/>
  <c r="F97" i="4"/>
  <c r="G97" i="4" s="1"/>
  <c r="H97" i="4" s="1"/>
  <c r="F98" i="4"/>
  <c r="G98" i="4" s="1"/>
  <c r="H98" i="4" s="1"/>
  <c r="F99" i="4"/>
  <c r="G99" i="4" s="1"/>
  <c r="H99" i="4" s="1"/>
  <c r="F100" i="4"/>
  <c r="G100" i="4" s="1"/>
  <c r="H100" i="4" s="1"/>
  <c r="F101" i="4"/>
  <c r="G101" i="4" s="1"/>
  <c r="H101" i="4" s="1"/>
  <c r="F102" i="4"/>
  <c r="G102" i="4" s="1"/>
  <c r="H102" i="4" s="1"/>
  <c r="F103" i="4"/>
  <c r="G103" i="4" s="1"/>
  <c r="H103" i="4" s="1"/>
  <c r="F104" i="4"/>
  <c r="G104" i="4" s="1"/>
  <c r="H104" i="4" s="1"/>
  <c r="F105" i="4"/>
  <c r="G105" i="4" s="1"/>
  <c r="H105" i="4" s="1"/>
  <c r="F106" i="4"/>
  <c r="G106" i="4" s="1"/>
  <c r="H106" i="4" s="1"/>
  <c r="F107" i="4"/>
  <c r="G107" i="4" s="1"/>
  <c r="H107" i="4" s="1"/>
  <c r="F108" i="4"/>
  <c r="G108" i="4" s="1"/>
  <c r="H108" i="4" s="1"/>
  <c r="F109" i="4"/>
  <c r="G109" i="4" s="1"/>
  <c r="H109" i="4" s="1"/>
  <c r="F110" i="4"/>
  <c r="G110" i="4" s="1"/>
  <c r="H110" i="4" s="1"/>
  <c r="F111" i="4"/>
  <c r="G111" i="4" s="1"/>
  <c r="H111" i="4" s="1"/>
  <c r="F112" i="4"/>
  <c r="G112" i="4" s="1"/>
  <c r="H112" i="4" s="1"/>
  <c r="F113" i="4"/>
  <c r="G113" i="4" s="1"/>
  <c r="H113" i="4" s="1"/>
  <c r="F114" i="4"/>
  <c r="G114" i="4" s="1"/>
  <c r="H114" i="4" s="1"/>
  <c r="F115" i="4"/>
  <c r="G115" i="4" s="1"/>
  <c r="H115" i="4" s="1"/>
  <c r="F116" i="4"/>
  <c r="G116" i="4" s="1"/>
  <c r="H116" i="4" s="1"/>
  <c r="F117" i="4"/>
  <c r="G117" i="4" s="1"/>
  <c r="H117" i="4" s="1"/>
  <c r="F118" i="4"/>
  <c r="G118" i="4" s="1"/>
  <c r="H118" i="4" s="1"/>
  <c r="F119" i="4"/>
  <c r="G119" i="4" s="1"/>
  <c r="H119" i="4" s="1"/>
  <c r="F120" i="4"/>
  <c r="G120" i="4" s="1"/>
  <c r="H120" i="4" s="1"/>
  <c r="F121" i="4"/>
  <c r="G121" i="4" s="1"/>
  <c r="H121" i="4" s="1"/>
  <c r="F122" i="4"/>
  <c r="G122" i="4" s="1"/>
  <c r="H122" i="4" s="1"/>
  <c r="F123" i="4"/>
  <c r="G123" i="4" s="1"/>
  <c r="H123" i="4" s="1"/>
  <c r="F124" i="4"/>
  <c r="G124" i="4" s="1"/>
  <c r="H124" i="4" s="1"/>
  <c r="F125" i="4"/>
  <c r="G125" i="4" s="1"/>
  <c r="H125" i="4" s="1"/>
  <c r="F126" i="4"/>
  <c r="G126" i="4" s="1"/>
  <c r="H126" i="4" s="1"/>
  <c r="F127" i="4"/>
  <c r="G127" i="4" s="1"/>
  <c r="H127" i="4" s="1"/>
  <c r="F128" i="4"/>
  <c r="G128" i="4" s="1"/>
  <c r="H128" i="4" s="1"/>
  <c r="F129" i="4"/>
  <c r="G129" i="4" s="1"/>
  <c r="H129" i="4" s="1"/>
  <c r="F130" i="4"/>
  <c r="G130" i="4" s="1"/>
  <c r="H130" i="4" s="1"/>
  <c r="F131" i="4"/>
  <c r="G131" i="4" s="1"/>
  <c r="H131" i="4" s="1"/>
  <c r="F132" i="4"/>
  <c r="G132" i="4" s="1"/>
  <c r="H132" i="4" s="1"/>
  <c r="F133" i="4"/>
  <c r="G133" i="4" s="1"/>
  <c r="H133" i="4" s="1"/>
  <c r="F134" i="4"/>
  <c r="G134" i="4" s="1"/>
  <c r="H134" i="4" s="1"/>
  <c r="F135" i="4"/>
  <c r="G135" i="4" s="1"/>
  <c r="H135" i="4" s="1"/>
  <c r="F136" i="4"/>
  <c r="G136" i="4" s="1"/>
  <c r="H136" i="4" s="1"/>
  <c r="F137" i="4"/>
  <c r="G137" i="4" s="1"/>
  <c r="H137" i="4" s="1"/>
  <c r="F138" i="4"/>
  <c r="G138" i="4" s="1"/>
  <c r="H138" i="4" s="1"/>
  <c r="F139" i="4"/>
  <c r="G139" i="4" s="1"/>
  <c r="H139" i="4" s="1"/>
  <c r="F140" i="4"/>
  <c r="G140" i="4" s="1"/>
  <c r="H140" i="4" s="1"/>
  <c r="F141" i="4"/>
  <c r="G141" i="4" s="1"/>
  <c r="H141" i="4" s="1"/>
  <c r="F142" i="4"/>
  <c r="G142" i="4" s="1"/>
  <c r="H142" i="4" s="1"/>
  <c r="F143" i="4"/>
  <c r="G143" i="4" s="1"/>
  <c r="H143" i="4" s="1"/>
  <c r="F144" i="4"/>
  <c r="G144" i="4" s="1"/>
  <c r="H144" i="4" s="1"/>
  <c r="F145" i="4"/>
  <c r="G145" i="4" s="1"/>
  <c r="H145" i="4" s="1"/>
  <c r="F146" i="4"/>
  <c r="G146" i="4" s="1"/>
  <c r="H146" i="4" s="1"/>
  <c r="F147" i="4"/>
  <c r="G147" i="4" s="1"/>
  <c r="H147" i="4" s="1"/>
  <c r="F148" i="4"/>
  <c r="G148" i="4" s="1"/>
  <c r="H148" i="4" s="1"/>
  <c r="F149" i="4"/>
  <c r="G149" i="4" s="1"/>
  <c r="H149" i="4" s="1"/>
  <c r="F150" i="4"/>
  <c r="G150" i="4" s="1"/>
  <c r="H150" i="4" s="1"/>
  <c r="F151" i="4"/>
  <c r="G151" i="4" s="1"/>
  <c r="H151" i="4" s="1"/>
  <c r="F152" i="4"/>
  <c r="G152" i="4" s="1"/>
  <c r="H152" i="4" s="1"/>
  <c r="F153" i="4"/>
  <c r="G153" i="4" s="1"/>
  <c r="H153" i="4" s="1"/>
  <c r="F154" i="4"/>
  <c r="G154" i="4" s="1"/>
  <c r="H154" i="4" s="1"/>
  <c r="F155" i="4"/>
  <c r="G155" i="4" s="1"/>
  <c r="H155" i="4" s="1"/>
  <c r="F156" i="4"/>
  <c r="G156" i="4" s="1"/>
  <c r="H156" i="4" s="1"/>
  <c r="F157" i="4"/>
  <c r="G157" i="4" s="1"/>
  <c r="H157" i="4" s="1"/>
  <c r="F158" i="4"/>
  <c r="G158" i="4" s="1"/>
  <c r="H158" i="4" s="1"/>
  <c r="F159" i="4"/>
  <c r="G159" i="4" s="1"/>
  <c r="H159" i="4" s="1"/>
  <c r="F160" i="4"/>
  <c r="G160" i="4" s="1"/>
  <c r="H160" i="4" s="1"/>
  <c r="F161" i="4"/>
  <c r="G161" i="4" s="1"/>
  <c r="H161" i="4" s="1"/>
  <c r="F162" i="4"/>
  <c r="G162" i="4" s="1"/>
  <c r="H162" i="4" s="1"/>
  <c r="F163" i="4"/>
  <c r="G163" i="4" s="1"/>
  <c r="H163" i="4" s="1"/>
  <c r="F164" i="4"/>
  <c r="G164" i="4" s="1"/>
  <c r="H164" i="4" s="1"/>
  <c r="F165" i="4"/>
  <c r="G165" i="4" s="1"/>
  <c r="H165" i="4" s="1"/>
  <c r="F166" i="4"/>
  <c r="G166" i="4" s="1"/>
  <c r="H166" i="4" s="1"/>
  <c r="F167" i="4"/>
  <c r="G167" i="4" s="1"/>
  <c r="H167" i="4" s="1"/>
  <c r="F168" i="4"/>
  <c r="G168" i="4" s="1"/>
  <c r="H168" i="4" s="1"/>
  <c r="F169" i="4"/>
  <c r="G169" i="4" s="1"/>
  <c r="H169" i="4" s="1"/>
  <c r="F170" i="4"/>
  <c r="G170" i="4" s="1"/>
  <c r="H170" i="4" s="1"/>
  <c r="F171" i="4"/>
  <c r="G171" i="4" s="1"/>
  <c r="H171" i="4" s="1"/>
  <c r="F172" i="4"/>
  <c r="G172" i="4" s="1"/>
  <c r="H172" i="4" s="1"/>
  <c r="F173" i="4"/>
  <c r="G173" i="4" s="1"/>
  <c r="H173" i="4" s="1"/>
  <c r="F174" i="4"/>
  <c r="G174" i="4" s="1"/>
  <c r="H174" i="4" s="1"/>
  <c r="F175" i="4"/>
  <c r="G175" i="4" s="1"/>
  <c r="H175" i="4" s="1"/>
  <c r="F176" i="4"/>
  <c r="G176" i="4" s="1"/>
  <c r="H176" i="4" s="1"/>
  <c r="F177" i="4"/>
  <c r="G177" i="4" s="1"/>
  <c r="H177" i="4" s="1"/>
  <c r="F178" i="4"/>
  <c r="G178" i="4" s="1"/>
  <c r="H178" i="4" s="1"/>
  <c r="F179" i="4"/>
  <c r="G179" i="4" s="1"/>
  <c r="H179" i="4" s="1"/>
  <c r="F180" i="4"/>
  <c r="G180" i="4" s="1"/>
  <c r="H180" i="4" s="1"/>
  <c r="F181" i="4"/>
  <c r="G181" i="4" s="1"/>
  <c r="H181" i="4" s="1"/>
  <c r="F182" i="4"/>
  <c r="G182" i="4" s="1"/>
  <c r="H182" i="4" s="1"/>
  <c r="F183" i="4"/>
  <c r="G183" i="4" s="1"/>
  <c r="H183" i="4" s="1"/>
  <c r="F184" i="4"/>
  <c r="G184" i="4" s="1"/>
  <c r="H184" i="4" s="1"/>
  <c r="F185" i="4"/>
  <c r="G185" i="4" s="1"/>
  <c r="H185" i="4" s="1"/>
  <c r="F186" i="4"/>
  <c r="G186" i="4" s="1"/>
  <c r="H186" i="4" s="1"/>
  <c r="F187" i="4"/>
  <c r="G187" i="4" s="1"/>
  <c r="H187" i="4" s="1"/>
  <c r="F188" i="4"/>
  <c r="G188" i="4" s="1"/>
  <c r="H188" i="4" s="1"/>
  <c r="F189" i="4"/>
  <c r="G189" i="4" s="1"/>
  <c r="H189" i="4" s="1"/>
  <c r="F190" i="4"/>
  <c r="G190" i="4" s="1"/>
  <c r="H190" i="4" s="1"/>
  <c r="F191" i="4"/>
  <c r="G191" i="4" s="1"/>
  <c r="H191" i="4" s="1"/>
  <c r="F192" i="4"/>
  <c r="G192" i="4" s="1"/>
  <c r="H192" i="4" s="1"/>
  <c r="F193" i="4"/>
  <c r="G193" i="4" s="1"/>
  <c r="H193" i="4" s="1"/>
  <c r="F194" i="4"/>
  <c r="G194" i="4" s="1"/>
  <c r="H194" i="4" s="1"/>
  <c r="F195" i="4"/>
  <c r="G195" i="4" s="1"/>
  <c r="H195" i="4" s="1"/>
  <c r="F196" i="4"/>
  <c r="G196" i="4" s="1"/>
  <c r="H196" i="4" s="1"/>
  <c r="F197" i="4"/>
  <c r="G197" i="4" s="1"/>
  <c r="H197" i="4" s="1"/>
  <c r="F198" i="4"/>
  <c r="G198" i="4" s="1"/>
  <c r="H198" i="4" s="1"/>
  <c r="F199" i="4"/>
  <c r="G199" i="4" s="1"/>
  <c r="H199" i="4" s="1"/>
  <c r="F200" i="4"/>
  <c r="G200" i="4" s="1"/>
  <c r="H200" i="4" s="1"/>
  <c r="F201" i="4"/>
  <c r="G201" i="4" s="1"/>
  <c r="H201" i="4" s="1"/>
  <c r="F202" i="4"/>
  <c r="G202" i="4" s="1"/>
  <c r="H202" i="4" s="1"/>
  <c r="F203" i="4"/>
  <c r="G203" i="4" s="1"/>
  <c r="H203" i="4" s="1"/>
  <c r="F204" i="4"/>
  <c r="G204" i="4" s="1"/>
  <c r="H204" i="4" s="1"/>
  <c r="F205" i="4"/>
  <c r="G205" i="4" s="1"/>
  <c r="H205" i="4" s="1"/>
  <c r="F206" i="4"/>
  <c r="G206" i="4" s="1"/>
  <c r="H206" i="4" s="1"/>
  <c r="F207" i="4"/>
  <c r="G207" i="4" s="1"/>
  <c r="H207" i="4" s="1"/>
  <c r="F208" i="4"/>
  <c r="G208" i="4" s="1"/>
  <c r="H208" i="4" s="1"/>
  <c r="F209" i="4"/>
  <c r="G209" i="4" s="1"/>
  <c r="H209" i="4" s="1"/>
  <c r="F210" i="4"/>
  <c r="G210" i="4" s="1"/>
  <c r="H210" i="4" s="1"/>
  <c r="F211" i="4"/>
  <c r="G211" i="4" s="1"/>
  <c r="H211" i="4" s="1"/>
  <c r="F212" i="4"/>
  <c r="G212" i="4" s="1"/>
  <c r="H212" i="4" s="1"/>
  <c r="F213" i="4"/>
  <c r="G213" i="4" s="1"/>
  <c r="H213" i="4" s="1"/>
  <c r="F214" i="4"/>
  <c r="G214" i="4" s="1"/>
  <c r="H214" i="4" s="1"/>
  <c r="F215" i="4"/>
  <c r="G215" i="4" s="1"/>
  <c r="H215" i="4" s="1"/>
  <c r="F216" i="4"/>
  <c r="G216" i="4" s="1"/>
  <c r="H216" i="4" s="1"/>
  <c r="F217" i="4"/>
  <c r="G217" i="4" s="1"/>
  <c r="H217" i="4" s="1"/>
  <c r="F218" i="4"/>
  <c r="G218" i="4" s="1"/>
  <c r="H218" i="4" s="1"/>
  <c r="F219" i="4"/>
  <c r="G219" i="4" s="1"/>
  <c r="H219" i="4" s="1"/>
  <c r="F220" i="4"/>
  <c r="G220" i="4" s="1"/>
  <c r="H220" i="4" s="1"/>
  <c r="F221" i="4"/>
  <c r="G221" i="4" s="1"/>
  <c r="H221" i="4" s="1"/>
  <c r="F222" i="4"/>
  <c r="G222" i="4" s="1"/>
  <c r="H222" i="4" s="1"/>
  <c r="F223" i="4"/>
  <c r="G223" i="4" s="1"/>
  <c r="H223" i="4" s="1"/>
  <c r="F224" i="4"/>
  <c r="G224" i="4" s="1"/>
  <c r="H224" i="4" s="1"/>
  <c r="F225" i="4"/>
  <c r="G225" i="4" s="1"/>
  <c r="H225" i="4" s="1"/>
  <c r="F226" i="4"/>
  <c r="G226" i="4" s="1"/>
  <c r="H226" i="4" s="1"/>
  <c r="F227" i="4"/>
  <c r="G227" i="4" s="1"/>
  <c r="H227" i="4" s="1"/>
  <c r="F228" i="4"/>
  <c r="G228" i="4" s="1"/>
  <c r="H228" i="4" s="1"/>
  <c r="F229" i="4"/>
  <c r="G229" i="4" s="1"/>
  <c r="H229" i="4" s="1"/>
  <c r="F230" i="4"/>
  <c r="G230" i="4" s="1"/>
  <c r="H230" i="4" s="1"/>
  <c r="F231" i="4"/>
  <c r="G231" i="4" s="1"/>
  <c r="H231" i="4" s="1"/>
  <c r="F232" i="4"/>
  <c r="G232" i="4" s="1"/>
  <c r="H232" i="4" s="1"/>
  <c r="F233" i="4"/>
  <c r="G233" i="4" s="1"/>
  <c r="H233" i="4" s="1"/>
  <c r="F234" i="4"/>
  <c r="G234" i="4" s="1"/>
  <c r="H234" i="4" s="1"/>
  <c r="F235" i="4"/>
  <c r="G235" i="4" s="1"/>
  <c r="H235" i="4" s="1"/>
  <c r="F236" i="4"/>
  <c r="G236" i="4" s="1"/>
  <c r="H236" i="4" s="1"/>
  <c r="F237" i="4"/>
  <c r="G237" i="4" s="1"/>
  <c r="H237" i="4" s="1"/>
  <c r="F238" i="4"/>
  <c r="G238" i="4" s="1"/>
  <c r="H238" i="4" s="1"/>
  <c r="F239" i="4"/>
  <c r="G239" i="4" s="1"/>
  <c r="H239" i="4" s="1"/>
  <c r="F240" i="4"/>
  <c r="G240" i="4" s="1"/>
  <c r="H240" i="4" s="1"/>
  <c r="F241" i="4"/>
  <c r="G241" i="4" s="1"/>
  <c r="H241" i="4" s="1"/>
  <c r="F242" i="4"/>
  <c r="G242" i="4" s="1"/>
  <c r="H242" i="4" s="1"/>
  <c r="F243" i="4"/>
  <c r="G243" i="4" s="1"/>
  <c r="H243" i="4" s="1"/>
  <c r="F244" i="4"/>
  <c r="G244" i="4" s="1"/>
  <c r="H244" i="4" s="1"/>
  <c r="F245" i="4"/>
  <c r="G245" i="4" s="1"/>
  <c r="H245" i="4" s="1"/>
  <c r="F246" i="4"/>
  <c r="G246" i="4" s="1"/>
  <c r="H246" i="4" s="1"/>
  <c r="F247" i="4"/>
  <c r="G247" i="4" s="1"/>
  <c r="H247" i="4" s="1"/>
  <c r="F248" i="4"/>
  <c r="G248" i="4" s="1"/>
  <c r="H248" i="4" s="1"/>
  <c r="F249" i="4"/>
  <c r="G249" i="4" s="1"/>
  <c r="H249" i="4" s="1"/>
  <c r="F250" i="4"/>
  <c r="G250" i="4" s="1"/>
  <c r="H250" i="4" s="1"/>
  <c r="F251" i="4"/>
  <c r="G251" i="4" s="1"/>
  <c r="H251" i="4" s="1"/>
  <c r="F252" i="4"/>
  <c r="G252" i="4" s="1"/>
  <c r="H252" i="4" s="1"/>
  <c r="F253" i="4"/>
  <c r="G253" i="4" s="1"/>
  <c r="H253" i="4" s="1"/>
  <c r="F254" i="4"/>
  <c r="G254" i="4" s="1"/>
  <c r="H254" i="4" s="1"/>
  <c r="F255" i="4"/>
  <c r="G255" i="4" s="1"/>
  <c r="H255" i="4" s="1"/>
  <c r="F256" i="4"/>
  <c r="G256" i="4" s="1"/>
  <c r="H256" i="4" s="1"/>
  <c r="F257" i="4"/>
  <c r="G257" i="4" s="1"/>
  <c r="H257" i="4" s="1"/>
  <c r="F258" i="4"/>
  <c r="G258" i="4" s="1"/>
  <c r="H258" i="4" s="1"/>
  <c r="F259" i="4"/>
  <c r="G259" i="4" s="1"/>
  <c r="H259" i="4" s="1"/>
  <c r="F260" i="4"/>
  <c r="G260" i="4" s="1"/>
  <c r="H260" i="4" s="1"/>
  <c r="F261" i="4"/>
  <c r="G261" i="4" s="1"/>
  <c r="H261" i="4" s="1"/>
  <c r="F262" i="4"/>
  <c r="G262" i="4" s="1"/>
  <c r="H262" i="4" s="1"/>
  <c r="F263" i="4"/>
  <c r="G263" i="4" s="1"/>
  <c r="H263" i="4" s="1"/>
  <c r="F264" i="4"/>
  <c r="G264" i="4" s="1"/>
  <c r="H264" i="4" s="1"/>
  <c r="F265" i="4"/>
  <c r="G265" i="4" s="1"/>
  <c r="H265" i="4" s="1"/>
  <c r="F266" i="4"/>
  <c r="G266" i="4" s="1"/>
  <c r="H266" i="4" s="1"/>
  <c r="F267" i="4"/>
  <c r="G267" i="4" s="1"/>
  <c r="H267" i="4" s="1"/>
  <c r="F268" i="4"/>
  <c r="G268" i="4" s="1"/>
  <c r="H268" i="4" s="1"/>
  <c r="F269" i="4"/>
  <c r="G269" i="4" s="1"/>
  <c r="H269" i="4" s="1"/>
  <c r="F270" i="4"/>
  <c r="G270" i="4" s="1"/>
  <c r="H270" i="4" s="1"/>
  <c r="F271" i="4"/>
  <c r="G271" i="4" s="1"/>
  <c r="H271" i="4" s="1"/>
  <c r="F272" i="4"/>
  <c r="G272" i="4" s="1"/>
  <c r="H272" i="4" s="1"/>
  <c r="F273" i="4"/>
  <c r="G273" i="4" s="1"/>
  <c r="H273" i="4" s="1"/>
  <c r="F274" i="4"/>
  <c r="G274" i="4" s="1"/>
  <c r="H274" i="4" s="1"/>
  <c r="F275" i="4"/>
  <c r="G275" i="4" s="1"/>
  <c r="H275" i="4" s="1"/>
  <c r="F276" i="4"/>
  <c r="G276" i="4" s="1"/>
  <c r="H276" i="4" s="1"/>
  <c r="F277" i="4"/>
  <c r="G277" i="4" s="1"/>
  <c r="H277" i="4" s="1"/>
  <c r="F278" i="4"/>
  <c r="G278" i="4" s="1"/>
  <c r="H278" i="4" s="1"/>
  <c r="F279" i="4"/>
  <c r="G279" i="4" s="1"/>
  <c r="H279" i="4" s="1"/>
  <c r="F280" i="4"/>
  <c r="G280" i="4" s="1"/>
  <c r="H280" i="4" s="1"/>
  <c r="F281" i="4"/>
  <c r="G281" i="4" s="1"/>
  <c r="H281" i="4" s="1"/>
  <c r="F282" i="4"/>
  <c r="G282" i="4" s="1"/>
  <c r="H282" i="4" s="1"/>
  <c r="F283" i="4"/>
  <c r="G283" i="4" s="1"/>
  <c r="H283" i="4" s="1"/>
  <c r="F284" i="4"/>
  <c r="G284" i="4" s="1"/>
  <c r="H284" i="4" s="1"/>
  <c r="F285" i="4"/>
  <c r="G285" i="4" s="1"/>
  <c r="H285" i="4" s="1"/>
  <c r="F286" i="4"/>
  <c r="G286" i="4" s="1"/>
  <c r="H286" i="4" s="1"/>
  <c r="F287" i="4"/>
  <c r="G287" i="4" s="1"/>
  <c r="H287" i="4" s="1"/>
  <c r="F288" i="4"/>
  <c r="G288" i="4" s="1"/>
  <c r="H288" i="4" s="1"/>
  <c r="F289" i="4"/>
  <c r="G289" i="4" s="1"/>
  <c r="H289" i="4" s="1"/>
  <c r="F290" i="4"/>
  <c r="G290" i="4" s="1"/>
  <c r="H290" i="4" s="1"/>
  <c r="F291" i="4"/>
  <c r="G291" i="4" s="1"/>
  <c r="H291" i="4" s="1"/>
  <c r="F292" i="4"/>
  <c r="G292" i="4" s="1"/>
  <c r="H292" i="4" s="1"/>
  <c r="F293" i="4"/>
  <c r="G293" i="4" s="1"/>
  <c r="H293" i="4" s="1"/>
  <c r="F294" i="4"/>
  <c r="G294" i="4" s="1"/>
  <c r="H294" i="4" s="1"/>
  <c r="F295" i="4"/>
  <c r="G295" i="4" s="1"/>
  <c r="H295" i="4" s="1"/>
  <c r="F296" i="4"/>
  <c r="G296" i="4" s="1"/>
  <c r="H296" i="4" s="1"/>
  <c r="F297" i="4"/>
  <c r="G297" i="4" s="1"/>
  <c r="H297" i="4" s="1"/>
  <c r="F298" i="4"/>
  <c r="G298" i="4" s="1"/>
  <c r="H298" i="4" s="1"/>
  <c r="F299" i="4"/>
  <c r="G299" i="4" s="1"/>
  <c r="H299" i="4" s="1"/>
  <c r="F300" i="4"/>
  <c r="G300" i="4" s="1"/>
  <c r="H300" i="4" s="1"/>
  <c r="F301" i="4"/>
  <c r="G301" i="4" s="1"/>
  <c r="H301" i="4" s="1"/>
  <c r="F302" i="4"/>
  <c r="G302" i="4" s="1"/>
  <c r="H302" i="4" s="1"/>
  <c r="F303" i="4"/>
  <c r="G303" i="4" s="1"/>
  <c r="H303" i="4" s="1"/>
  <c r="F304" i="4"/>
  <c r="G304" i="4" s="1"/>
  <c r="H304" i="4" s="1"/>
  <c r="F305" i="4"/>
  <c r="G305" i="4" s="1"/>
  <c r="H305" i="4" s="1"/>
  <c r="F306" i="4"/>
  <c r="G306" i="4" s="1"/>
  <c r="H306" i="4" s="1"/>
  <c r="F307" i="4"/>
  <c r="G307" i="4" s="1"/>
  <c r="H307" i="4" s="1"/>
  <c r="F308" i="4"/>
  <c r="G308" i="4" s="1"/>
  <c r="H308" i="4" s="1"/>
  <c r="F309" i="4"/>
  <c r="G309" i="4" s="1"/>
  <c r="H309" i="4" s="1"/>
  <c r="F310" i="4"/>
  <c r="G310" i="4" s="1"/>
  <c r="H310" i="4" s="1"/>
  <c r="F311" i="4"/>
  <c r="G311" i="4" s="1"/>
  <c r="H311" i="4" s="1"/>
  <c r="F312" i="4"/>
  <c r="G312" i="4" s="1"/>
  <c r="H312" i="4" s="1"/>
  <c r="F313" i="4"/>
  <c r="G313" i="4" s="1"/>
  <c r="H313" i="4" s="1"/>
  <c r="F314" i="4"/>
  <c r="G314" i="4" s="1"/>
  <c r="H314" i="4" s="1"/>
  <c r="F315" i="4"/>
  <c r="G315" i="4" s="1"/>
  <c r="H315" i="4" s="1"/>
  <c r="F316" i="4"/>
  <c r="G316" i="4" s="1"/>
  <c r="H316" i="4" s="1"/>
  <c r="F317" i="4"/>
  <c r="G317" i="4" s="1"/>
  <c r="H317" i="4" s="1"/>
  <c r="F318" i="4"/>
  <c r="G318" i="4" s="1"/>
  <c r="H318" i="4" s="1"/>
  <c r="F319" i="4"/>
  <c r="G319" i="4" s="1"/>
  <c r="H319" i="4" s="1"/>
  <c r="F320" i="4"/>
  <c r="G320" i="4" s="1"/>
  <c r="H320" i="4" s="1"/>
  <c r="F321" i="4"/>
  <c r="G321" i="4" s="1"/>
  <c r="H321" i="4" s="1"/>
  <c r="F322" i="4"/>
  <c r="G322" i="4" s="1"/>
  <c r="H322" i="4" s="1"/>
  <c r="F323" i="4"/>
  <c r="G323" i="4" s="1"/>
  <c r="H323" i="4" s="1"/>
  <c r="F324" i="4"/>
  <c r="G324" i="4" s="1"/>
  <c r="H324" i="4" s="1"/>
  <c r="F325" i="4"/>
  <c r="G325" i="4" s="1"/>
  <c r="H325" i="4" s="1"/>
  <c r="F326" i="4"/>
  <c r="G326" i="4" s="1"/>
  <c r="H326" i="4" s="1"/>
  <c r="F327" i="4"/>
  <c r="G327" i="4" s="1"/>
  <c r="H327" i="4" s="1"/>
  <c r="F328" i="4"/>
  <c r="G328" i="4" s="1"/>
  <c r="H328" i="4" s="1"/>
  <c r="F329" i="4"/>
  <c r="G329" i="4" s="1"/>
  <c r="H329" i="4" s="1"/>
  <c r="F330" i="4"/>
  <c r="G330" i="4" s="1"/>
  <c r="H330" i="4" s="1"/>
  <c r="F331" i="4"/>
  <c r="G331" i="4" s="1"/>
  <c r="H331" i="4" s="1"/>
  <c r="F332" i="4"/>
  <c r="G332" i="4" s="1"/>
  <c r="H332" i="4" s="1"/>
  <c r="F333" i="4"/>
  <c r="G333" i="4" s="1"/>
  <c r="H333" i="4" s="1"/>
  <c r="F334" i="4"/>
  <c r="G334" i="4" s="1"/>
  <c r="H334" i="4" s="1"/>
  <c r="F335" i="4"/>
  <c r="G335" i="4" s="1"/>
  <c r="H335" i="4" s="1"/>
  <c r="F336" i="4"/>
  <c r="G336" i="4" s="1"/>
  <c r="H336" i="4" s="1"/>
  <c r="F337" i="4"/>
  <c r="G337" i="4" s="1"/>
  <c r="H337" i="4" s="1"/>
  <c r="F338" i="4"/>
  <c r="G338" i="4" s="1"/>
  <c r="H338" i="4" s="1"/>
  <c r="F339" i="4"/>
  <c r="G339" i="4" s="1"/>
  <c r="H339" i="4" s="1"/>
  <c r="F340" i="4"/>
  <c r="G340" i="4" s="1"/>
  <c r="H340" i="4" s="1"/>
  <c r="F341" i="4"/>
  <c r="G341" i="4" s="1"/>
  <c r="H341" i="4" s="1"/>
  <c r="F342" i="4"/>
  <c r="G342" i="4" s="1"/>
  <c r="H342" i="4" s="1"/>
  <c r="F343" i="4"/>
  <c r="G343" i="4" s="1"/>
  <c r="H343" i="4" s="1"/>
  <c r="F344" i="4"/>
  <c r="G344" i="4" s="1"/>
  <c r="H344" i="4" s="1"/>
  <c r="F2" i="4"/>
  <c r="G2" i="4" s="1"/>
  <c r="H2" i="4" s="1"/>
  <c r="G3" i="4" l="1"/>
  <c r="H3" i="4" s="1"/>
</calcChain>
</file>

<file path=xl/sharedStrings.xml><?xml version="1.0" encoding="utf-8"?>
<sst xmlns="http://schemas.openxmlformats.org/spreadsheetml/2006/main" count="1800" uniqueCount="1052">
  <si>
    <t>Data Criada</t>
  </si>
  <si>
    <t>After Sales</t>
  </si>
  <si>
    <t>Pedido</t>
  </si>
  <si>
    <t>Nfe</t>
  </si>
  <si>
    <t>Finalizado</t>
  </si>
  <si>
    <t>MGZ-LU-1453770462996658 (1484243)</t>
  </si>
  <si>
    <t>AFS-33241</t>
  </si>
  <si>
    <t>001001884-4</t>
  </si>
  <si>
    <t>Resolvido</t>
  </si>
  <si>
    <t>WBC-A001239641937 (1493008)</t>
  </si>
  <si>
    <t>AFS-33235</t>
  </si>
  <si>
    <t>001009597-4</t>
  </si>
  <si>
    <t>MGZ-LU-1455970464077277 (1494748)</t>
  </si>
  <si>
    <t>AFS-33233</t>
  </si>
  <si>
    <t>001010494-4</t>
  </si>
  <si>
    <t>MZN-702-6023172-5077048 (1494718)</t>
  </si>
  <si>
    <t>AFS-33228</t>
  </si>
  <si>
    <t>001010578-4</t>
  </si>
  <si>
    <t>MGZ-LU-1454570463352116 (1488895)</t>
  </si>
  <si>
    <t>AFS-33224</t>
  </si>
  <si>
    <t>001006166-4</t>
  </si>
  <si>
    <t>MLC-45251905722 (1501073)</t>
  </si>
  <si>
    <t>AFS-33247</t>
  </si>
  <si>
    <t>001014424-4</t>
  </si>
  <si>
    <t>Em aberto</t>
  </si>
  <si>
    <t>MGZ-LU-1444770458496723 (1429703)</t>
  </si>
  <si>
    <t>AFS-33244</t>
  </si>
  <si>
    <t>000968403-4</t>
  </si>
  <si>
    <t>VVJ-47496815401 (1481639)</t>
  </si>
  <si>
    <t>AFS-33135</t>
  </si>
  <si>
    <t>001000706-4</t>
  </si>
  <si>
    <t>WBC-A001235752297 (1458183)</t>
  </si>
  <si>
    <t>AFS-33136</t>
  </si>
  <si>
    <t>000985870-4</t>
  </si>
  <si>
    <t>MGZ-LU-1456070464135473 (1495317)</t>
  </si>
  <si>
    <t>AFS-33138</t>
  </si>
  <si>
    <t>001010969-4</t>
  </si>
  <si>
    <t>MGZ-LU-1458670465210402 (1507168)</t>
  </si>
  <si>
    <t>AFS-33139</t>
  </si>
  <si>
    <t>001018182-4</t>
  </si>
  <si>
    <t>MLP-45230625438 (1495348)</t>
  </si>
  <si>
    <t>AFS-33141</t>
  </si>
  <si>
    <t>001011408-4</t>
  </si>
  <si>
    <t>AFS-33145</t>
  </si>
  <si>
    <t>MGZ-LU-1459670465861779 (1512468)</t>
  </si>
  <si>
    <t>AFS-33254</t>
  </si>
  <si>
    <t>001020008-4</t>
  </si>
  <si>
    <t>WBC-A001235402282 (1455503)</t>
  </si>
  <si>
    <t>AFS-33484</t>
  </si>
  <si>
    <t>000983781-4</t>
  </si>
  <si>
    <t>MLP-45009397421 (1428423)</t>
  </si>
  <si>
    <t>AFS-33480</t>
  </si>
  <si>
    <t>000967375-4</t>
  </si>
  <si>
    <t>LVL-O9909861431967 (1427546)</t>
  </si>
  <si>
    <t>AFS-33478</t>
  </si>
  <si>
    <t>000966943-4</t>
  </si>
  <si>
    <t>AFS-33471</t>
  </si>
  <si>
    <t>MGZ-LU-1456470464304973 (1497248)</t>
  </si>
  <si>
    <t>AFS-33466</t>
  </si>
  <si>
    <t>001012406-4</t>
  </si>
  <si>
    <t>MGZ-LU-1458870465299331 (1507873)</t>
  </si>
  <si>
    <t>AFS-33463</t>
  </si>
  <si>
    <t>001019318-4</t>
  </si>
  <si>
    <t>CRF-5612396080001-A (1507241)</t>
  </si>
  <si>
    <t>AFS-33455</t>
  </si>
  <si>
    <t>001018333-4</t>
  </si>
  <si>
    <t>1550781503361-01 (1503361)</t>
  </si>
  <si>
    <t>AFS-33448</t>
  </si>
  <si>
    <t>001016092-4</t>
  </si>
  <si>
    <t>MGZ-LU-1458170465005358 (1505440)</t>
  </si>
  <si>
    <t>AFS-33386</t>
  </si>
  <si>
    <t>001017887-4</t>
  </si>
  <si>
    <t>MLC-45291927120 (1510301)</t>
  </si>
  <si>
    <t>AFS-33722</t>
  </si>
  <si>
    <t>001020955-4</t>
  </si>
  <si>
    <t>MLC-45257255666 (1502494)</t>
  </si>
  <si>
    <t>AFS-33718</t>
  </si>
  <si>
    <t>001015598-4.</t>
  </si>
  <si>
    <t>MGZ-LU-1453970463084152 (1485718)</t>
  </si>
  <si>
    <t>AFS-33713</t>
  </si>
  <si>
    <t>001004808-4</t>
  </si>
  <si>
    <t>MLC-45184980874 (1483944)</t>
  </si>
  <si>
    <t>AFS-33712</t>
  </si>
  <si>
    <t>001002008-4</t>
  </si>
  <si>
    <t>MLC-45269411832 (1505306)</t>
  </si>
  <si>
    <t>AFS-33706</t>
  </si>
  <si>
    <t>001017588-4</t>
  </si>
  <si>
    <t>VVJ-47381460901 (1464131)</t>
  </si>
  <si>
    <t>AFS-33702</t>
  </si>
  <si>
    <t>000989603-4</t>
  </si>
  <si>
    <t>AFS-33701</t>
  </si>
  <si>
    <t>MZN-701-3036571-5221850 (1502586)</t>
  </si>
  <si>
    <t>AFS-33696</t>
  </si>
  <si>
    <t>001015706-4</t>
  </si>
  <si>
    <t>MZN-702-4622854-6084211 (1485949)</t>
  </si>
  <si>
    <t>AFS-33894</t>
  </si>
  <si>
    <t>001003582-4</t>
  </si>
  <si>
    <t>MGZ-LU-1459670465901880 (1512783)</t>
  </si>
  <si>
    <t>AFS-34152</t>
  </si>
  <si>
    <t>001023361-4</t>
  </si>
  <si>
    <t>1550821503736-01 (1503736)</t>
  </si>
  <si>
    <t>AFS-34156</t>
  </si>
  <si>
    <t>001016674-4</t>
  </si>
  <si>
    <t>MLP-45331478464 (1529913)</t>
  </si>
  <si>
    <t>AFS-34185</t>
  </si>
  <si>
    <t>001031135-4</t>
  </si>
  <si>
    <t>MLP-45307028386 (1513900)</t>
  </si>
  <si>
    <t>AFS-34190</t>
  </si>
  <si>
    <t>001023564-4</t>
  </si>
  <si>
    <t>1550301500104-01 (1500104)</t>
  </si>
  <si>
    <t>AFS-34193</t>
  </si>
  <si>
    <t>001014527-4</t>
  </si>
  <si>
    <t>MGZ-LU-1455870464039409 (1494425)</t>
  </si>
  <si>
    <t>AFS-34474</t>
  </si>
  <si>
    <t>001010476-4</t>
  </si>
  <si>
    <t>MLC-45126054808 (1464631)</t>
  </si>
  <si>
    <t>AFS-34589</t>
  </si>
  <si>
    <t>000989356-4</t>
  </si>
  <si>
    <t>1554211535672-01 (1535672)</t>
  </si>
  <si>
    <t>AFS-34607</t>
  </si>
  <si>
    <t>001036061-4</t>
  </si>
  <si>
    <t>CRF-5615315750001-A (1518608)</t>
  </si>
  <si>
    <t>AFS-34725</t>
  </si>
  <si>
    <t>001026669-4</t>
  </si>
  <si>
    <t>MLP-45334831395 (1531632)</t>
  </si>
  <si>
    <t>AFS-34756</t>
  </si>
  <si>
    <t>001033666-4</t>
  </si>
  <si>
    <t>AFS-34782</t>
  </si>
  <si>
    <t>001036241-4</t>
  </si>
  <si>
    <t>MGZ-LU-1459970466094252 (1514498)</t>
  </si>
  <si>
    <t>AFS-34790</t>
  </si>
  <si>
    <t>001024517-4</t>
  </si>
  <si>
    <t>WBC-A001242765067 (1516959)</t>
  </si>
  <si>
    <t>AFS-34792</t>
  </si>
  <si>
    <t>001025567-4</t>
  </si>
  <si>
    <t>MGZ-LU-1458870465330706 (1508137)</t>
  </si>
  <si>
    <t>AFS-34798</t>
  </si>
  <si>
    <t>001019583-4</t>
  </si>
  <si>
    <t>MGZ-LU-1456470464300180 (1497190)</t>
  </si>
  <si>
    <t>AFS-34863</t>
  </si>
  <si>
    <t>001012725-4</t>
  </si>
  <si>
    <t>AFS-35068</t>
  </si>
  <si>
    <t>MLP-45396612028 (1555244)</t>
  </si>
  <si>
    <t>AFS-35081</t>
  </si>
  <si>
    <t>WBC-A001244131735 (1538972)</t>
  </si>
  <si>
    <t>AFS-35084</t>
  </si>
  <si>
    <t>001038635-4</t>
  </si>
  <si>
    <t>1554471539004-01 (1539004)</t>
  </si>
  <si>
    <t>AFS-35113</t>
  </si>
  <si>
    <t>001038537-4</t>
  </si>
  <si>
    <t>VVJ-47818413301 (1530025)</t>
  </si>
  <si>
    <t>AFS-35153</t>
  </si>
  <si>
    <t>001033537-4</t>
  </si>
  <si>
    <t>BNR-1554384315131-01 (1537196)</t>
  </si>
  <si>
    <t>AFS-35160</t>
  </si>
  <si>
    <t>001038530-4</t>
  </si>
  <si>
    <t>MLP-45327740322 (1527577)</t>
  </si>
  <si>
    <t>AFS-35220</t>
  </si>
  <si>
    <t>001031308-4</t>
  </si>
  <si>
    <t>BNR-1553764308196-01 (1530009)</t>
  </si>
  <si>
    <t>AFS-35222</t>
  </si>
  <si>
    <t>001033085-4</t>
  </si>
  <si>
    <t>MLP-45280684820 (1507709)</t>
  </si>
  <si>
    <t>AFS-35244</t>
  </si>
  <si>
    <t>001019931-4</t>
  </si>
  <si>
    <t>MLC-45321457064 (1520142)</t>
  </si>
  <si>
    <t>AFS-35248</t>
  </si>
  <si>
    <t>001026732-4</t>
  </si>
  <si>
    <t>MLP-45325667408 (1525798)</t>
  </si>
  <si>
    <t>AFS-35250</t>
  </si>
  <si>
    <t>001027225-4</t>
  </si>
  <si>
    <t>AFS-35309</t>
  </si>
  <si>
    <t>LRM-0032330678-A (1530758)</t>
  </si>
  <si>
    <t>AFS-35315</t>
  </si>
  <si>
    <t>001035841-4</t>
  </si>
  <si>
    <t>1553451521325-01 (1521325)</t>
  </si>
  <si>
    <t>AFS-35428</t>
  </si>
  <si>
    <t>001030127-4</t>
  </si>
  <si>
    <t>MGZ-LU-1459870465993526 (1513479)</t>
  </si>
  <si>
    <t>AFS-35570</t>
  </si>
  <si>
    <t>001023745-4</t>
  </si>
  <si>
    <t>1554381537402-01 (1537402)</t>
  </si>
  <si>
    <t>AFS-35580</t>
  </si>
  <si>
    <t>001038032-4</t>
  </si>
  <si>
    <t>WBC-A001243633528 (1534059)</t>
  </si>
  <si>
    <t>AFS-35584</t>
  </si>
  <si>
    <t>001034667-4</t>
  </si>
  <si>
    <t>BNR-1553524305856-01 (1525106)</t>
  </si>
  <si>
    <t>AFS-35588</t>
  </si>
  <si>
    <t>001028514-4</t>
  </si>
  <si>
    <t>MGZ-LU-1460970466601061 (1527305)</t>
  </si>
  <si>
    <t>AFS-35597</t>
  </si>
  <si>
    <t>001030783-4</t>
  </si>
  <si>
    <t>MLC-45164858592 (1478007</t>
  </si>
  <si>
    <t>AFS-35609</t>
  </si>
  <si>
    <t>000998064-4</t>
  </si>
  <si>
    <t>MLP-45354078700 (1541100)</t>
  </si>
  <si>
    <t>AFS-35610</t>
  </si>
  <si>
    <t>001039285-4</t>
  </si>
  <si>
    <t>1554211535854-01 (1535854)</t>
  </si>
  <si>
    <t>AFS-35657</t>
  </si>
  <si>
    <t>001039477-4</t>
  </si>
  <si>
    <t>1554371537194-01 (1537194)</t>
  </si>
  <si>
    <t>AFS-35662</t>
  </si>
  <si>
    <t>001040593-4</t>
  </si>
  <si>
    <t>1553661527411-01 (1527411)</t>
  </si>
  <si>
    <t>AFS-35666</t>
  </si>
  <si>
    <t>001034723-4</t>
  </si>
  <si>
    <t xml:space="preserve">AFS-35220 </t>
  </si>
  <si>
    <t>MGZ-LU-1461270466765833 (1531462)</t>
  </si>
  <si>
    <t>AFS-35229</t>
  </si>
  <si>
    <t>001035508-4</t>
  </si>
  <si>
    <t>BNR-1554714318526-01 (1541230)</t>
  </si>
  <si>
    <t>AFS-35922</t>
  </si>
  <si>
    <t>001039620-4</t>
  </si>
  <si>
    <t>BNR-1554924320085-01 (1543145)</t>
  </si>
  <si>
    <t>AFS-36548</t>
  </si>
  <si>
    <t>001041889-4</t>
  </si>
  <si>
    <t>1554591539690-01 (1539690)</t>
  </si>
  <si>
    <t>AFS-36552</t>
  </si>
  <si>
    <t>001040003-4</t>
  </si>
  <si>
    <t>WBC-A001244387740 (1541928)</t>
  </si>
  <si>
    <t>AFS-36556</t>
  </si>
  <si>
    <t>001042185-4</t>
  </si>
  <si>
    <t>MZN-702-5466817-7142661 (1549434)</t>
  </si>
  <si>
    <t>AFS-36852</t>
  </si>
  <si>
    <t>001046165-4</t>
  </si>
  <si>
    <t>MLP-45386168018 (1551960)</t>
  </si>
  <si>
    <t>AFS-36857</t>
  </si>
  <si>
    <t>001048203-4</t>
  </si>
  <si>
    <t>1556591554785-01 (1554785)</t>
  </si>
  <si>
    <t>AFS-36864</t>
  </si>
  <si>
    <t>001050143-4</t>
  </si>
  <si>
    <t>MGZ-LU-1462370467237770 (1541970)</t>
  </si>
  <si>
    <t>AFS-36873</t>
  </si>
  <si>
    <t>001042121-4</t>
  </si>
  <si>
    <t>MLP-45390056029 (1553148)</t>
  </si>
  <si>
    <t>AFS-36879</t>
  </si>
  <si>
    <t>001049458-4</t>
  </si>
  <si>
    <t>MLP-45352110512 (1540011)</t>
  </si>
  <si>
    <t>AFS-36881</t>
  </si>
  <si>
    <t>001039046-4</t>
  </si>
  <si>
    <t>MLP-45320007243 (1518101)</t>
  </si>
  <si>
    <t>AFS-36999</t>
  </si>
  <si>
    <t>001027624-4</t>
  </si>
  <si>
    <t>MGZ-LU-1463570467879615 (1551196)</t>
  </si>
  <si>
    <t>AFS-37016</t>
  </si>
  <si>
    <t>001047882-4</t>
  </si>
  <si>
    <t>MGZ-LU-1463170467653179 (1547930)</t>
  </si>
  <si>
    <t>AFS-37044</t>
  </si>
  <si>
    <t>001045182-4</t>
  </si>
  <si>
    <t>MGZ-LU-1462070467126923 (1539705)</t>
  </si>
  <si>
    <t>AFS-37051</t>
  </si>
  <si>
    <t>001039907-4</t>
  </si>
  <si>
    <t>MGZ-LU-1466470244157500 (1566196)</t>
  </si>
  <si>
    <t>AFS-37056</t>
  </si>
  <si>
    <t>001058260-4</t>
  </si>
  <si>
    <t>BNR-1555884328111-01 (1550663)</t>
  </si>
  <si>
    <t>AFS-37059</t>
  </si>
  <si>
    <t>001047541-4</t>
  </si>
  <si>
    <t>MLP-44973917294 (1415689)</t>
  </si>
  <si>
    <t>AFS-37065</t>
  </si>
  <si>
    <t>000959619-4</t>
  </si>
  <si>
    <t>MGZ-LU-1446370459246041 (1439530)</t>
  </si>
  <si>
    <t>AFS-37066</t>
  </si>
  <si>
    <t>000974298-4</t>
  </si>
  <si>
    <t>VVJ-47243239401 (1446070)</t>
  </si>
  <si>
    <t>AFS-37067</t>
  </si>
  <si>
    <t>000978550-4</t>
  </si>
  <si>
    <t>MGZ-LU-1454470463313319 (1488514)</t>
  </si>
  <si>
    <t>AFS-37068</t>
  </si>
  <si>
    <t>001005857-4</t>
  </si>
  <si>
    <t>MGZ-LU-1455870464032417 (1494386)</t>
  </si>
  <si>
    <t>AFS-37070</t>
  </si>
  <si>
    <t>001010152-4</t>
  </si>
  <si>
    <t>MLC-45227733224 (1494658)</t>
  </si>
  <si>
    <t>AFS-37071</t>
  </si>
  <si>
    <t>001010546-4</t>
  </si>
  <si>
    <t>MGZ-LU-1458170465003586 (1505424)</t>
  </si>
  <si>
    <t>AFS-37073</t>
  </si>
  <si>
    <t>001017763-4</t>
  </si>
  <si>
    <t>MGZ-LU-1462470467276820 (1542886)</t>
  </si>
  <si>
    <t>AFS-37292</t>
  </si>
  <si>
    <t>001041998-4</t>
  </si>
  <si>
    <t>MLP-45372380414 (1547442)</t>
  </si>
  <si>
    <t>AFS-37415</t>
  </si>
  <si>
    <t>001044698-4</t>
  </si>
  <si>
    <t>MZN-701-4047183-5734626 (1558925)</t>
  </si>
  <si>
    <t>AFS-37709</t>
  </si>
  <si>
    <t>001053042-4</t>
  </si>
  <si>
    <t>MGZ-LU-1463570467877660 (1551166)</t>
  </si>
  <si>
    <t>AFS-37753</t>
  </si>
  <si>
    <t>001047890-4</t>
  </si>
  <si>
    <t>MGZ-LU-1455370463763467 (1492320)</t>
  </si>
  <si>
    <t>AFS-37812</t>
  </si>
  <si>
    <t>001008673-4</t>
  </si>
  <si>
    <t>VVJ-47754529001 (1513269)</t>
  </si>
  <si>
    <t>AFS-37824</t>
  </si>
  <si>
    <t>001023246-4</t>
  </si>
  <si>
    <t>MGZ-LU-1466970244407555 (1569400)</t>
  </si>
  <si>
    <t>AFS-37855</t>
  </si>
  <si>
    <t>001059891-4</t>
  </si>
  <si>
    <t>MGZ-LU-1456870464405535 (1498518)</t>
  </si>
  <si>
    <t>AFS-37865</t>
  </si>
  <si>
    <t>001012747-4</t>
  </si>
  <si>
    <t>BNR-1552274293648-01 (1511204)</t>
  </si>
  <si>
    <t>AFS-37870</t>
  </si>
  <si>
    <t>001021561-4</t>
  </si>
  <si>
    <t>BNR-1553424304140-01 (1519152)</t>
  </si>
  <si>
    <t>AFS-37871</t>
  </si>
  <si>
    <t>001026966-4</t>
  </si>
  <si>
    <t>MGZ-LU-1462670467384967 (1544658)</t>
  </si>
  <si>
    <t>AFS-37872</t>
  </si>
  <si>
    <t>001042679-4</t>
  </si>
  <si>
    <t>MLP-45326770327 (1526955)</t>
  </si>
  <si>
    <t>AFS-37875</t>
  </si>
  <si>
    <t>001032231-4</t>
  </si>
  <si>
    <t>1554971543995-01 (1543995)</t>
  </si>
  <si>
    <t>AFS-37879</t>
  </si>
  <si>
    <t>001041557-4</t>
  </si>
  <si>
    <t>MGZ-LU-1463270467724421 (1548960)</t>
  </si>
  <si>
    <t>AFS-37885</t>
  </si>
  <si>
    <t>001045691-4</t>
  </si>
  <si>
    <t>MLP-45452261459 (1571050)</t>
  </si>
  <si>
    <t>AFS-37908</t>
  </si>
  <si>
    <t>001061524-4</t>
  </si>
  <si>
    <t>MLP-45303827520 (1513134)</t>
  </si>
  <si>
    <t>AFS-37924</t>
  </si>
  <si>
    <t>001023293-4</t>
  </si>
  <si>
    <t>MLP-45280448033 (1507708)</t>
  </si>
  <si>
    <t>AFS-37925</t>
  </si>
  <si>
    <t>001020096-4</t>
  </si>
  <si>
    <t>1557581561149-01 (1561149)</t>
  </si>
  <si>
    <t>AFS-37929</t>
  </si>
  <si>
    <t>001055384-4</t>
  </si>
  <si>
    <t>1557561561035-01 (1561035)</t>
  </si>
  <si>
    <t>AFS-37930</t>
  </si>
  <si>
    <t>001054710-4</t>
  </si>
  <si>
    <t>1554501539442-01 (1539442)</t>
  </si>
  <si>
    <t>AFS-38044</t>
  </si>
  <si>
    <t>001040178-4</t>
  </si>
  <si>
    <t>1558971570431-01 (1570431)</t>
  </si>
  <si>
    <t>AFS-38049</t>
  </si>
  <si>
    <t>001060830-4</t>
  </si>
  <si>
    <t>MLC-45085485670 (1454260)</t>
  </si>
  <si>
    <t>AFS-38053</t>
  </si>
  <si>
    <t>000983301-4</t>
  </si>
  <si>
    <t>WBC-A001246119248 (1558229)</t>
  </si>
  <si>
    <t>AFS-38055</t>
  </si>
  <si>
    <t>001052521-4</t>
  </si>
  <si>
    <t>1553781530384-01 (1530384)</t>
  </si>
  <si>
    <t>AFS-38057</t>
  </si>
  <si>
    <t>001031215-4</t>
  </si>
  <si>
    <t>MGZ-LU-1467070244491530 (1570895)</t>
  </si>
  <si>
    <t>AFS-38062</t>
  </si>
  <si>
    <t>001060877-4</t>
  </si>
  <si>
    <t>1553751529851-01 (1529851)</t>
  </si>
  <si>
    <t>AFS-38179</t>
  </si>
  <si>
    <t>001031311-4</t>
  </si>
  <si>
    <t>1558331565773-01 (1565773)</t>
  </si>
  <si>
    <t>AFS-38176</t>
  </si>
  <si>
    <t>001056745-4</t>
  </si>
  <si>
    <t>MGZ-LU-1465370243709002 (1560405)</t>
  </si>
  <si>
    <t>AFS-38191</t>
  </si>
  <si>
    <t>001054093-4</t>
  </si>
  <si>
    <t>MGZ-LU-1466170244030494 (1564756)</t>
  </si>
  <si>
    <t>AFS-38195</t>
  </si>
  <si>
    <t>001057496-4</t>
  </si>
  <si>
    <t>MGZ-LU-1465470243761736 (1561112)</t>
  </si>
  <si>
    <t>AFS-38201</t>
  </si>
  <si>
    <t>001054438-4</t>
  </si>
  <si>
    <t>MGZ-LU-1463570467853281 (1550801)</t>
  </si>
  <si>
    <t>AFS-38224</t>
  </si>
  <si>
    <t>001047506-4</t>
  </si>
  <si>
    <t>MLP-45207480558 (1490540)</t>
  </si>
  <si>
    <t>AFS-38410</t>
  </si>
  <si>
    <t>001007192-4</t>
  </si>
  <si>
    <t>VVJ-48034740001 (1567851)</t>
  </si>
  <si>
    <t>AFS-38487</t>
  </si>
  <si>
    <t>001058688-4</t>
  </si>
  <si>
    <t>MLP-45465746558 (1575993)</t>
  </si>
  <si>
    <t>AFS-38491</t>
  </si>
  <si>
    <t>001064730-4</t>
  </si>
  <si>
    <t>MGZ-LU-1468170245093376 (1578491)</t>
  </si>
  <si>
    <t>AFS-38504</t>
  </si>
  <si>
    <t>001065957-4</t>
  </si>
  <si>
    <t>MGZ-LU-1460470466327677 (1516612)</t>
  </si>
  <si>
    <t>AFS-38627</t>
  </si>
  <si>
    <t>001025337-4</t>
  </si>
  <si>
    <t>MLP-45471177725 (1578023)</t>
  </si>
  <si>
    <t>AFS-38688</t>
  </si>
  <si>
    <t>001066202-4</t>
  </si>
  <si>
    <t>MGZ-LU-1467370244697033 (1573646)</t>
  </si>
  <si>
    <t>AFS-38699</t>
  </si>
  <si>
    <t>001062987-4</t>
  </si>
  <si>
    <t>MGZ-LU-1463470467775384 (1549703)</t>
  </si>
  <si>
    <t>AFS-38802</t>
  </si>
  <si>
    <t>001046511-4</t>
  </si>
  <si>
    <t>BNR-1556794333922-01 (1555887)</t>
  </si>
  <si>
    <t>AFS-38807</t>
  </si>
  <si>
    <t>001051353-4</t>
  </si>
  <si>
    <t>MGZ-LU-1467270244632728 (1572984)</t>
  </si>
  <si>
    <t>AFS-38813</t>
  </si>
  <si>
    <t>001063877-4</t>
  </si>
  <si>
    <t>MGZ-LU-1468670245442778 (1582955)</t>
  </si>
  <si>
    <t>AFS-38872</t>
  </si>
  <si>
    <t>001069777-4</t>
  </si>
  <si>
    <t>WBC-A001243845380 (1535645)</t>
  </si>
  <si>
    <t>AFS-38985</t>
  </si>
  <si>
    <t>001036798-4</t>
  </si>
  <si>
    <t>AFS-39087</t>
  </si>
  <si>
    <t>MGZ-LU-1468570245357674 (1581837)</t>
  </si>
  <si>
    <t>AFS-39336</t>
  </si>
  <si>
    <t>001068624-4</t>
  </si>
  <si>
    <t>MGZ-LU-1468370245203273 (1580405)</t>
  </si>
  <si>
    <t>AFS-39337</t>
  </si>
  <si>
    <t>001067811-4</t>
  </si>
  <si>
    <t>MGZ-LU-1468370245247332 (1580481)</t>
  </si>
  <si>
    <t>AFS-39351</t>
  </si>
  <si>
    <t>001069823-4</t>
  </si>
  <si>
    <t>MGZ-LU-1468970245576195 (1585014)</t>
  </si>
  <si>
    <t>AFS-39453</t>
  </si>
  <si>
    <t>001071791-4</t>
  </si>
  <si>
    <t>VVJ-48183241402 (1592221)</t>
  </si>
  <si>
    <t>AFS-39457</t>
  </si>
  <si>
    <t>001076322-4</t>
  </si>
  <si>
    <t>VVJ-47938413201 (1553209)</t>
  </si>
  <si>
    <t>AFS-39585</t>
  </si>
  <si>
    <t>001049468-4</t>
  </si>
  <si>
    <t>AFS-39589</t>
  </si>
  <si>
    <t>MGZ-LU-1468170245133854 (1579118)</t>
  </si>
  <si>
    <t>AFS-39598</t>
  </si>
  <si>
    <t>001067517-4</t>
  </si>
  <si>
    <t>MGZ-LU-1470170246123886 (1592274)</t>
  </si>
  <si>
    <t>AFS-39786</t>
  </si>
  <si>
    <t>001075897-4</t>
  </si>
  <si>
    <t>NXT-1554720940460-01 (1541449)</t>
  </si>
  <si>
    <t>AFS-40269</t>
  </si>
  <si>
    <t>001039106-4</t>
  </si>
  <si>
    <t>MZN-701-8335758-8276266 (1582686</t>
  </si>
  <si>
    <t>AFS-40473</t>
  </si>
  <si>
    <t>001069608-4</t>
  </si>
  <si>
    <t>MGZ-LU-1475570273123895 (1618706)</t>
  </si>
  <si>
    <t>AFS-42330</t>
  </si>
  <si>
    <t>001095705-4</t>
  </si>
  <si>
    <t>MGZ-LU-1477170274013636 (1627790)</t>
  </si>
  <si>
    <t>AFS-42925</t>
  </si>
  <si>
    <t>001102172-4</t>
  </si>
  <si>
    <t>VVJ-48400130601 (1619471)</t>
  </si>
  <si>
    <t>AFS-42938</t>
  </si>
  <si>
    <t>001096117-4</t>
  </si>
  <si>
    <t>VVJ-48433754201 (1624054)</t>
  </si>
  <si>
    <t>AFS-43251</t>
  </si>
  <si>
    <t>001100012-4</t>
  </si>
  <si>
    <t>MGZ-LU-1477170274015350 (1627818)</t>
  </si>
  <si>
    <t>AFS-43371</t>
  </si>
  <si>
    <t>001102209-4</t>
  </si>
  <si>
    <t>MZN-701-9811082-4036217 (1623932)</t>
  </si>
  <si>
    <t>AFS-43376</t>
  </si>
  <si>
    <t>001099448-4</t>
  </si>
  <si>
    <t>MZN-701-4780132-0100208 (1623934)</t>
  </si>
  <si>
    <t>AFS-43387</t>
  </si>
  <si>
    <t>001100434-4</t>
  </si>
  <si>
    <t>WBC-A001252383988 (1608384)</t>
  </si>
  <si>
    <t>AFS-43466</t>
  </si>
  <si>
    <t>001087586-4</t>
  </si>
  <si>
    <t>BNR-1567664423666-01 (1626881)</t>
  </si>
  <si>
    <t>AFS-43856</t>
  </si>
  <si>
    <t>001101663-4</t>
  </si>
  <si>
    <t>MGZ-LU-1477770274262273 (1631355)</t>
  </si>
  <si>
    <t>AFS-43922</t>
  </si>
  <si>
    <t>001104654-4</t>
  </si>
  <si>
    <t>MLP-45561972798 (1604234)</t>
  </si>
  <si>
    <t>AFS-43975</t>
  </si>
  <si>
    <t>001084763-4</t>
  </si>
  <si>
    <t>WBC-A001252635926 (1610182)</t>
  </si>
  <si>
    <t>AFS-44052</t>
  </si>
  <si>
    <t>001088674-4</t>
  </si>
  <si>
    <t>MGZ-LU-1477770274289340 (1631668)</t>
  </si>
  <si>
    <t>AFS-44062</t>
  </si>
  <si>
    <t>001105257-4</t>
  </si>
  <si>
    <t>MGZ-LU-1477670274224313</t>
  </si>
  <si>
    <t>AFS-44125</t>
  </si>
  <si>
    <t>001104942-4</t>
  </si>
  <si>
    <t>MGZ-LU-1471470271440824 (1599940)</t>
  </si>
  <si>
    <t>AFS-44163</t>
  </si>
  <si>
    <t>001082045-4</t>
  </si>
  <si>
    <t>VVJ-48592661001 (1642249)</t>
  </si>
  <si>
    <t>AFS-44194</t>
  </si>
  <si>
    <t>001112693-4</t>
  </si>
  <si>
    <t>VVJ-48579356501 (1640299)</t>
  </si>
  <si>
    <t>AFS-44206</t>
  </si>
  <si>
    <t>001111312-4</t>
  </si>
  <si>
    <t>MGZ-LU-1478070274441381 (1634533)</t>
  </si>
  <si>
    <t>AFS-44216</t>
  </si>
  <si>
    <t>001107245-4</t>
  </si>
  <si>
    <t>MGZ-LU-1477470274161712 (1630201)</t>
  </si>
  <si>
    <t>AFS-44218</t>
  </si>
  <si>
    <t>001103823-4</t>
  </si>
  <si>
    <t>MLP-45655638159 (1626743)</t>
  </si>
  <si>
    <t>AFS-44228</t>
  </si>
  <si>
    <t>001101747-4</t>
  </si>
  <si>
    <t>MGZ-1480170512986942 (1641874)</t>
  </si>
  <si>
    <t>AFS-44457</t>
  </si>
  <si>
    <t>001112067-4</t>
  </si>
  <si>
    <t>MLC-45653496860 (1626171)</t>
  </si>
  <si>
    <t>AFS-44654</t>
  </si>
  <si>
    <t>001101008-4</t>
  </si>
  <si>
    <t>MGZ-LU-1477170274034619 (1628201)</t>
  </si>
  <si>
    <t>AFS-44914</t>
  </si>
  <si>
    <t>001103346-4</t>
  </si>
  <si>
    <t>MGZ-1479170274915785 (1637922)</t>
  </si>
  <si>
    <t>AFS-44962</t>
  </si>
  <si>
    <t>001109669-4</t>
  </si>
  <si>
    <t>TSP-1567170613139-01 (1622880)</t>
  </si>
  <si>
    <t>AFS-44964</t>
  </si>
  <si>
    <t>001098277-4</t>
  </si>
  <si>
    <t>MLP-45732658783 (1643566)</t>
  </si>
  <si>
    <t>AFS-44973</t>
  </si>
  <si>
    <t>001113680-4</t>
  </si>
  <si>
    <t>MZN-701-3956275-2057831 (1641730)</t>
  </si>
  <si>
    <t>AFS-45041</t>
  </si>
  <si>
    <t>001112105-4</t>
  </si>
  <si>
    <t>1572201649848-01 (1649848)</t>
  </si>
  <si>
    <t>AFS-45064</t>
  </si>
  <si>
    <t>001117893-4</t>
  </si>
  <si>
    <t>MGZ-1480370513036136 (1642403)</t>
  </si>
  <si>
    <t>AFS-45091</t>
  </si>
  <si>
    <t>001112824-4</t>
  </si>
  <si>
    <t>CRF-5627365280001-A (1586872)</t>
  </si>
  <si>
    <t>AFS-45185</t>
  </si>
  <si>
    <t>001073385-4</t>
  </si>
  <si>
    <t>MGZ-1480170512965404 (1641488)</t>
  </si>
  <si>
    <t>AFS-45231</t>
  </si>
  <si>
    <t>001111945-4</t>
  </si>
  <si>
    <t>MLP-45762130974 (1649629)</t>
  </si>
  <si>
    <t>AFS-45400</t>
  </si>
  <si>
    <t>001118588-4</t>
  </si>
  <si>
    <t>MLP-45748465993 (1646908)</t>
  </si>
  <si>
    <t>AFS-45475</t>
  </si>
  <si>
    <t>001116677-4</t>
  </si>
  <si>
    <t>1571051644720-01 (1644720)</t>
  </si>
  <si>
    <t>AFS-45479</t>
  </si>
  <si>
    <t>001114242-4</t>
  </si>
  <si>
    <t>WBC-A001259936743 (1650916)</t>
  </si>
  <si>
    <t>AFS-45482</t>
  </si>
  <si>
    <t>001118885-4</t>
  </si>
  <si>
    <t>MGZ-1481470513400248 (1646916)</t>
  </si>
  <si>
    <t>AFS-45488</t>
  </si>
  <si>
    <t>001116136-4</t>
  </si>
  <si>
    <t>MGZ-1479470275015135 (1638902)</t>
  </si>
  <si>
    <t>AFS-45519</t>
  </si>
  <si>
    <t>001110365-4</t>
  </si>
  <si>
    <t>BNR-1568794432582-01 (1633643)</t>
  </si>
  <si>
    <t>AFS-45534</t>
  </si>
  <si>
    <t>001107025-4</t>
  </si>
  <si>
    <t>MLP-45749973431 (1647306)</t>
  </si>
  <si>
    <t>AFS-45645</t>
  </si>
  <si>
    <t>001116654-4</t>
  </si>
  <si>
    <t>MZN-702-0596897-9518650 (1641589)</t>
  </si>
  <si>
    <t>AFS-45684</t>
  </si>
  <si>
    <t>001111925-4</t>
  </si>
  <si>
    <t>WBC-A001257752897 (1638932)</t>
  </si>
  <si>
    <t>AFS-45707</t>
  </si>
  <si>
    <t>001110766-4</t>
  </si>
  <si>
    <t>MLC-45647297259 (1624186)</t>
  </si>
  <si>
    <t>AFS-45715</t>
  </si>
  <si>
    <t>001100580-4</t>
  </si>
  <si>
    <t>VVJ-48782355701 (1671036)</t>
  </si>
  <si>
    <t>AFS-46249</t>
  </si>
  <si>
    <t>001132304-4</t>
  </si>
  <si>
    <t>TSP-1574020835335-01 (1659538)</t>
  </si>
  <si>
    <t>AFS-46545</t>
  </si>
  <si>
    <t>001124994-4</t>
  </si>
  <si>
    <t>MGZ-1481170513330792 (1646070)</t>
  </si>
  <si>
    <t>AFS-46650</t>
  </si>
  <si>
    <t>001118662-4</t>
  </si>
  <si>
    <t>VVJ-48857557501 (1691397)</t>
  </si>
  <si>
    <t>AFS-46757</t>
  </si>
  <si>
    <t>001141425-4</t>
  </si>
  <si>
    <t>MLP-45829172644 (1669971)</t>
  </si>
  <si>
    <t>AFS-46797</t>
  </si>
  <si>
    <t>001130496-4</t>
  </si>
  <si>
    <t>VVJ-48762090101 (1661850)</t>
  </si>
  <si>
    <t>AFS-46847</t>
  </si>
  <si>
    <t>001126594-4</t>
  </si>
  <si>
    <t>WBC-W0011574321168966 (1662616)</t>
  </si>
  <si>
    <t>AFS-46878</t>
  </si>
  <si>
    <t>001128196-4</t>
  </si>
  <si>
    <t>MGZ-1485970779536869 (1687558)</t>
  </si>
  <si>
    <t>AFS-46880</t>
  </si>
  <si>
    <t>001138274-4</t>
  </si>
  <si>
    <t>MGZ-1485870779506018 (1686367)</t>
  </si>
  <si>
    <t>AFS-46881</t>
  </si>
  <si>
    <t>001139022-4</t>
  </si>
  <si>
    <t>VVJ-48823611301 (1678831)</t>
  </si>
  <si>
    <t>AFS-47542</t>
  </si>
  <si>
    <t>001133770-4</t>
  </si>
  <si>
    <t>MGZ-1482570513817977 (1652138)</t>
  </si>
  <si>
    <t>AFS-46260</t>
  </si>
  <si>
    <t>001119868-4</t>
  </si>
  <si>
    <t>MLP-45838582890 (1677810)</t>
  </si>
  <si>
    <t>AFS-47612</t>
  </si>
  <si>
    <t>001132670-4</t>
  </si>
  <si>
    <t>MGZ-1486470779888794 (1695024)</t>
  </si>
  <si>
    <t>AFS-47616</t>
  </si>
  <si>
    <t>001144282-4</t>
  </si>
  <si>
    <t>MGZ-1485070778951987 (1670134)</t>
  </si>
  <si>
    <t>AFS-47624</t>
  </si>
  <si>
    <t>001130553-4</t>
  </si>
  <si>
    <t>MGZ-1487570780459384 (1705038)</t>
  </si>
  <si>
    <t>AFS-47636</t>
  </si>
  <si>
    <t>001151740-4</t>
  </si>
  <si>
    <t>1575511683549-01 (1683549)</t>
  </si>
  <si>
    <t>AFS-47639</t>
  </si>
  <si>
    <t>001137177-4</t>
  </si>
  <si>
    <t>MGZ-1486970780172452 (1699977)</t>
  </si>
  <si>
    <t>AFS-47847</t>
  </si>
  <si>
    <t>001149160-4</t>
  </si>
  <si>
    <t>MGZ-1487570780456489 (1704980)</t>
  </si>
  <si>
    <t>AFS-47849</t>
  </si>
  <si>
    <t>001151476-4</t>
  </si>
  <si>
    <t>MGZ-1486870780113740 (1698960)</t>
  </si>
  <si>
    <t>AFS-47851</t>
  </si>
  <si>
    <t>001146950-4</t>
  </si>
  <si>
    <t>MGZ-1487070780233140 (1701083)</t>
  </si>
  <si>
    <t>AFS-47857</t>
  </si>
  <si>
    <t>001149117-4</t>
  </si>
  <si>
    <t>BNR-1572164457900-01 (1649517)</t>
  </si>
  <si>
    <t>AFS-47864</t>
  </si>
  <si>
    <t>001117926-4</t>
  </si>
  <si>
    <t>MLP-45823970717 (1665248)</t>
  </si>
  <si>
    <t>AFS-47877</t>
  </si>
  <si>
    <t>001129290-4.</t>
  </si>
  <si>
    <t>MLP-45855311884 (1690274)</t>
  </si>
  <si>
    <t>AFS-47942</t>
  </si>
  <si>
    <t>001140547-4</t>
  </si>
  <si>
    <t>MGZ-1488070780753921 (1710298)</t>
  </si>
  <si>
    <t>AFS-48005</t>
  </si>
  <si>
    <t>001156145-4</t>
  </si>
  <si>
    <t>BNR-1573754470451-01 (1657424)</t>
  </si>
  <si>
    <t>AFS-48053</t>
  </si>
  <si>
    <t>001123560-4</t>
  </si>
  <si>
    <t>VVJ-48958439501 (1706807)</t>
  </si>
  <si>
    <t>AFS-48063</t>
  </si>
  <si>
    <t>001152909-4</t>
  </si>
  <si>
    <t>MZN-701-2540339-4037850 (1662629)</t>
  </si>
  <si>
    <t>AFS-48325</t>
  </si>
  <si>
    <t>001127054-4</t>
  </si>
  <si>
    <t>BNR-1556564332571-01 (1554582)</t>
  </si>
  <si>
    <t>AFS-48376</t>
  </si>
  <si>
    <t>001049940-4</t>
  </si>
  <si>
    <t>MGZ-1486970780177358 (1700040)</t>
  </si>
  <si>
    <t>AFS-48512</t>
  </si>
  <si>
    <t>001147081-4</t>
  </si>
  <si>
    <t>MLP-45602474192 (1614584)</t>
  </si>
  <si>
    <t>AFS-48520</t>
  </si>
  <si>
    <t>001092543-4</t>
  </si>
  <si>
    <t>WBC-A001267873036 (1717322)</t>
  </si>
  <si>
    <t>AFS-48534</t>
  </si>
  <si>
    <t>001161788-4</t>
  </si>
  <si>
    <t>MGZ-1486470779867229 (1694484)</t>
  </si>
  <si>
    <t>AFS-48602</t>
  </si>
  <si>
    <t>001143553-4</t>
  </si>
  <si>
    <t>MGZ-1488670781111870 (1716310)</t>
  </si>
  <si>
    <t>AFS-48877</t>
  </si>
  <si>
    <t>001160546-4</t>
  </si>
  <si>
    <t>MGZ-1489470781526562 (1722226)</t>
  </si>
  <si>
    <t>AFS-48920</t>
  </si>
  <si>
    <t>001165414-4</t>
  </si>
  <si>
    <t>MGZ-1487570780452334 (1705072)</t>
  </si>
  <si>
    <t>AFS-48927</t>
  </si>
  <si>
    <t>001151638-4</t>
  </si>
  <si>
    <t>BNR-1577154508716-01 (1707000)</t>
  </si>
  <si>
    <t>AFS-48929</t>
  </si>
  <si>
    <t>001154111-4</t>
  </si>
  <si>
    <t>MGZ-1488170780866804 (1716014)</t>
  </si>
  <si>
    <t>AFS-48931</t>
  </si>
  <si>
    <t>001160724-4</t>
  </si>
  <si>
    <t>VVJ-48907726601 (1696674)</t>
  </si>
  <si>
    <t>AFS-49000</t>
  </si>
  <si>
    <t>001145285-4</t>
  </si>
  <si>
    <t>1578841724064-01 (1724064)</t>
  </si>
  <si>
    <t>AFS-49090</t>
  </si>
  <si>
    <t>001166831-4</t>
  </si>
  <si>
    <t>CRF-5653248400001-A (1710074)</t>
  </si>
  <si>
    <t>AFS-49094</t>
  </si>
  <si>
    <t>001155571-4</t>
  </si>
  <si>
    <t>MGZ-1489770781720578 (1726485)</t>
  </si>
  <si>
    <t>AFS-49096</t>
  </si>
  <si>
    <t>001168232-4</t>
  </si>
  <si>
    <t>MZN-702-0506997-1030667 (1696028)</t>
  </si>
  <si>
    <t>AFS-49098</t>
  </si>
  <si>
    <t>001144722-4</t>
  </si>
  <si>
    <t>MGZ-1487770780616834 (1707942)</t>
  </si>
  <si>
    <t>AFS-49272</t>
  </si>
  <si>
    <t>001153813-4</t>
  </si>
  <si>
    <t>MGZ-1490070781893521 (1729250)</t>
  </si>
  <si>
    <t>AFS-49355</t>
  </si>
  <si>
    <t>001170936-4</t>
  </si>
  <si>
    <t>MGZ-1489170781362965 (1719872)</t>
  </si>
  <si>
    <t>AFS-49385</t>
  </si>
  <si>
    <t>001163749-4</t>
  </si>
  <si>
    <t>MGZ-1484570778693039 (1663985)</t>
  </si>
  <si>
    <t>AFS-49401</t>
  </si>
  <si>
    <t>001128154-4</t>
  </si>
  <si>
    <t>MGZ-1487870780664799 (1708912)</t>
  </si>
  <si>
    <t>AFS-49552</t>
  </si>
  <si>
    <t>001153888-4</t>
  </si>
  <si>
    <t>VVJ-49114737001 (1729694)</t>
  </si>
  <si>
    <t>AFS-49560</t>
  </si>
  <si>
    <t>001170416-4</t>
  </si>
  <si>
    <t>MGZ-1485670779307026 (1685937)</t>
  </si>
  <si>
    <t>AFS-49685</t>
  </si>
  <si>
    <t>001136735-4</t>
  </si>
  <si>
    <t>VVJ-49113933601 (1729502)</t>
  </si>
  <si>
    <t>AFS-49782</t>
  </si>
  <si>
    <t>001170391-4</t>
  </si>
  <si>
    <t>MGZ-1490170781978899 (1730757)</t>
  </si>
  <si>
    <t>AFS-49788</t>
  </si>
  <si>
    <t>001173733-4</t>
  </si>
  <si>
    <t>MGZ-1490570782773967 (1745631)</t>
  </si>
  <si>
    <t>AFS-49958</t>
  </si>
  <si>
    <t>001180297-4</t>
  </si>
  <si>
    <t>MGZ-1489970781856662 (1728576)</t>
  </si>
  <si>
    <t>AFS-49960</t>
  </si>
  <si>
    <t>001172828-4</t>
  </si>
  <si>
    <t>MGZ-1484770778789900 (1665813)</t>
  </si>
  <si>
    <t>AFS-49963</t>
  </si>
  <si>
    <t>001129311-4</t>
  </si>
  <si>
    <t>MGZ-1488370780929046 (1713215)</t>
  </si>
  <si>
    <t>AFS-50035</t>
  </si>
  <si>
    <t>001159242-4</t>
  </si>
  <si>
    <t>BNR-1577684516058-01 (1713091)</t>
  </si>
  <si>
    <t>AFS-50038</t>
  </si>
  <si>
    <t>001158077-4</t>
  </si>
  <si>
    <t>BNR-1575454486845-01 (1681931)</t>
  </si>
  <si>
    <t>AFS-50040</t>
  </si>
  <si>
    <t>001135085-4</t>
  </si>
  <si>
    <t>MGZ-1491670664803269 (1765121)</t>
  </si>
  <si>
    <t>AFS-50047</t>
  </si>
  <si>
    <t>001191468-4</t>
  </si>
  <si>
    <t>MGZ-1487770780638368 (1708883)</t>
  </si>
  <si>
    <t>AFS-50049</t>
  </si>
  <si>
    <t>001154742-4</t>
  </si>
  <si>
    <t>1579201729818-01 (1729818)</t>
  </si>
  <si>
    <t>AFS-50053</t>
  </si>
  <si>
    <t>001171587-4</t>
  </si>
  <si>
    <t>MGZ-1488570781035119 (1715043)</t>
  </si>
  <si>
    <t>AFS-50054</t>
  </si>
  <si>
    <t>001159705-4</t>
  </si>
  <si>
    <t>MGZ-1490970783169515 (1755375)</t>
  </si>
  <si>
    <t>AFS-50056</t>
  </si>
  <si>
    <t>001181948-4</t>
  </si>
  <si>
    <t>MGZ-1488570781025943 (1714899)</t>
  </si>
  <si>
    <t>AFS-50059</t>
  </si>
  <si>
    <t>001159572-4</t>
  </si>
  <si>
    <t>VVJ-48956700501 (1705994)</t>
  </si>
  <si>
    <t>AFS-50063</t>
  </si>
  <si>
    <t>001152672-4</t>
  </si>
  <si>
    <t>BNR-1575534488677-01 (1684645)</t>
  </si>
  <si>
    <t>AFS-50067</t>
  </si>
  <si>
    <t>001137366-4</t>
  </si>
  <si>
    <t>MZN-701-3142083-5745859 (1728035)</t>
  </si>
  <si>
    <t>AFS-50078</t>
  </si>
  <si>
    <t>001170757-4</t>
  </si>
  <si>
    <t>MZN-701-0629210-2375438 (1718178)</t>
  </si>
  <si>
    <t>AFS-50114</t>
  </si>
  <si>
    <t>001164266-4</t>
  </si>
  <si>
    <t>MGZ-LU-1474670272745739 (1615101)</t>
  </si>
  <si>
    <t>AFS-50115</t>
  </si>
  <si>
    <t>001093025-4</t>
  </si>
  <si>
    <t>MLP-45824317100 (1665282)</t>
  </si>
  <si>
    <t>AFS-50145</t>
  </si>
  <si>
    <t>001129080-4</t>
  </si>
  <si>
    <t>MLC-45621261093 (1618286)</t>
  </si>
  <si>
    <t>AFS-50157</t>
  </si>
  <si>
    <t>001095585-4</t>
  </si>
  <si>
    <t>MGZ-1490570782716426 (1744628)</t>
  </si>
  <si>
    <t>AFS-50193</t>
  </si>
  <si>
    <t>001181866-4</t>
  </si>
  <si>
    <t>MGZ-1490470782271375 (1735874)</t>
  </si>
  <si>
    <t>AFS-50259</t>
  </si>
  <si>
    <t>001175352-4</t>
  </si>
  <si>
    <t>MGZ-1491370783527762 (1762775)</t>
  </si>
  <si>
    <t>AFS-50293</t>
  </si>
  <si>
    <t>001190488-4</t>
  </si>
  <si>
    <t>MGZ-1489170781378127 (1720066)</t>
  </si>
  <si>
    <t>AFS-50338</t>
  </si>
  <si>
    <t>001164114-4</t>
  </si>
  <si>
    <t>MGZ-1485970779598091 (1689565)</t>
  </si>
  <si>
    <t>AFS-50344</t>
  </si>
  <si>
    <t>001142303-4</t>
  </si>
  <si>
    <t>MGZ-1489570781591950 (1723577)</t>
  </si>
  <si>
    <t>AFS-50945</t>
  </si>
  <si>
    <t>001166240-4</t>
  </si>
  <si>
    <t>MLC-45968504045 (1743398)</t>
  </si>
  <si>
    <t>AFS-50979</t>
  </si>
  <si>
    <t>001182276-4</t>
  </si>
  <si>
    <t>MGZ-1492270665107363 (1767483)</t>
  </si>
  <si>
    <t>AFS-51049</t>
  </si>
  <si>
    <t>001196300-4</t>
  </si>
  <si>
    <t>AFS-51101</t>
  </si>
  <si>
    <t>MGZ-1491670664745268 (1764412)</t>
  </si>
  <si>
    <t>AFS-51133</t>
  </si>
  <si>
    <t>001193136-4</t>
  </si>
  <si>
    <t>VVJ-49140604802 (1737441)</t>
  </si>
  <si>
    <t>AFS-51156</t>
  </si>
  <si>
    <t>001176655-4</t>
  </si>
  <si>
    <t>MGZ-1491870664863184 (1765643)</t>
  </si>
  <si>
    <t>AFS-51188</t>
  </si>
  <si>
    <t>001195485-4</t>
  </si>
  <si>
    <t>MGZ-1492370665150220 (1767804)</t>
  </si>
  <si>
    <t>AFS-51293</t>
  </si>
  <si>
    <t>001196391-4</t>
  </si>
  <si>
    <t>MGZ-1492270665109780 (1767514)</t>
  </si>
  <si>
    <t>AFS-51314</t>
  </si>
  <si>
    <t>001195874-4</t>
  </si>
  <si>
    <t>MZN-702-0773155-9778621 (1721337)</t>
  </si>
  <si>
    <t>AFS-51319</t>
  </si>
  <si>
    <t>001165054-4</t>
  </si>
  <si>
    <t>MLP-45878407656 (1700117)</t>
  </si>
  <si>
    <t>AFS-51400</t>
  </si>
  <si>
    <t>001147312-4</t>
  </si>
  <si>
    <t>MGZ-1490070781950047 (1730240)</t>
  </si>
  <si>
    <t>AFS-51633</t>
  </si>
  <si>
    <t>001172161-4</t>
  </si>
  <si>
    <t>VVJ-48807823401 (1672071)</t>
  </si>
  <si>
    <t>AFS-51645</t>
  </si>
  <si>
    <t>001132137-4</t>
  </si>
  <si>
    <t>MGZ-1490570782515297 (1740750)</t>
  </si>
  <si>
    <t>AFS-51656</t>
  </si>
  <si>
    <t>001182899-4</t>
  </si>
  <si>
    <t>VVJ-49203366301 (1749302)</t>
  </si>
  <si>
    <t>AFS-51674</t>
  </si>
  <si>
    <t>001181879-4</t>
  </si>
  <si>
    <t>MGZ-1491170783303821 (1758589)</t>
  </si>
  <si>
    <t>AFS-51696</t>
  </si>
  <si>
    <t>001189254-4</t>
  </si>
  <si>
    <t>MLP-45869658776 (1696308)</t>
  </si>
  <si>
    <t>AFS-51708</t>
  </si>
  <si>
    <t>001145030-4</t>
  </si>
  <si>
    <t>MZN-702-1725712-7425011 (1751431)</t>
  </si>
  <si>
    <t>AFS-51744</t>
  </si>
  <si>
    <t>001187236-4</t>
  </si>
  <si>
    <t>MDM-9241411 (1724553)</t>
  </si>
  <si>
    <t>AFS-51750</t>
  </si>
  <si>
    <t>001172041-4</t>
  </si>
  <si>
    <t>MZN-701-7810682-1662666 (1691166)</t>
  </si>
  <si>
    <t>AFS-51752</t>
  </si>
  <si>
    <t>001140210-4</t>
  </si>
  <si>
    <t>TSP-1579671531804-01 (1744301)</t>
  </si>
  <si>
    <t>AFS-51754</t>
  </si>
  <si>
    <t>001184106-4</t>
  </si>
  <si>
    <t>MGZ-1490270782057218 (1732082)</t>
  </si>
  <si>
    <t>AFS-51762</t>
  </si>
  <si>
    <t>001172508-4</t>
  </si>
  <si>
    <t>BNR-1577754517288-01 (1714100)</t>
  </si>
  <si>
    <t>AFS-51802</t>
  </si>
  <si>
    <t>001158747-4</t>
  </si>
  <si>
    <t>MLP-45968660401 (1743449)</t>
  </si>
  <si>
    <t>AFS-51862</t>
  </si>
  <si>
    <t>001177939-4</t>
  </si>
  <si>
    <t>MGZ-1487270780328609 (1702855)</t>
  </si>
  <si>
    <t>AFS-51910</t>
  </si>
  <si>
    <t>001148428-4</t>
  </si>
  <si>
    <t>TSP-1581061670187-01 (1767086)</t>
  </si>
  <si>
    <t>AFS-51920</t>
  </si>
  <si>
    <t>001195995-4</t>
  </si>
  <si>
    <t>BNR-1579914560186-01 (1753664)</t>
  </si>
  <si>
    <t>AFS-51926</t>
  </si>
  <si>
    <t>001185767-4</t>
  </si>
  <si>
    <t>BNR-1581124573307-01 (1767505)</t>
  </si>
  <si>
    <t>AFS-51937</t>
  </si>
  <si>
    <t>001195272-4</t>
  </si>
  <si>
    <t>VVJ-49191267205 (1745383)</t>
  </si>
  <si>
    <t>AFS-51938</t>
  </si>
  <si>
    <t>001179461-4</t>
  </si>
  <si>
    <t>MGZ-1494070666218341 (1775582)</t>
  </si>
  <si>
    <t>AFS-51942</t>
  </si>
  <si>
    <t>001202896-4</t>
  </si>
  <si>
    <t>MLP-46012611368 (1766880)</t>
  </si>
  <si>
    <t>AFS-51943</t>
  </si>
  <si>
    <t>001195674-4</t>
  </si>
  <si>
    <t>MGZ-1491570664675966 (1763640)</t>
  </si>
  <si>
    <t>AFS-51944</t>
  </si>
  <si>
    <t>001191750-4</t>
  </si>
  <si>
    <t>VVJ-49268421901 (1763446)</t>
  </si>
  <si>
    <t>AFS-51945</t>
  </si>
  <si>
    <t>001193541-4</t>
  </si>
  <si>
    <t>MGZ-1488070780759259 (1710398)</t>
  </si>
  <si>
    <t>AFS-51946</t>
  </si>
  <si>
    <t>001157403-4</t>
  </si>
  <si>
    <t>MGZ-1494070666249113 (1775901)</t>
  </si>
  <si>
    <t>AFS-51947</t>
  </si>
  <si>
    <t>001202772-4</t>
  </si>
  <si>
    <t>MGZ-1494070666188093 (1776762)</t>
  </si>
  <si>
    <t>AFS-51948</t>
  </si>
  <si>
    <t>001203503-4</t>
  </si>
  <si>
    <t>MZN-701-3126184-0346663 (1781165)</t>
  </si>
  <si>
    <t>AFS-51949</t>
  </si>
  <si>
    <t>001206638-4</t>
  </si>
  <si>
    <t>BNR-1582724587434-01 (1775652)</t>
  </si>
  <si>
    <t>AFS-52189</t>
  </si>
  <si>
    <t>001202702-4</t>
  </si>
  <si>
    <t>MZN-702-0470535-7980241 (1755921)</t>
  </si>
  <si>
    <t>AFS-52196</t>
  </si>
  <si>
    <t>001190392-4</t>
  </si>
  <si>
    <t>MGZ-1495470667067108 (1781912)</t>
  </si>
  <si>
    <t>AFS-52203</t>
  </si>
  <si>
    <t>001207341-4</t>
  </si>
  <si>
    <t>MLC-46049575326 (1773278)</t>
  </si>
  <si>
    <t>AFS-52224</t>
  </si>
  <si>
    <t>001200507-4</t>
  </si>
  <si>
    <t>WBC-A001269345126 (1725297)</t>
  </si>
  <si>
    <t>AFS-52227</t>
  </si>
  <si>
    <t>001168796-4</t>
  </si>
  <si>
    <t>MGZ-1491470783534845 (1762911)</t>
  </si>
  <si>
    <t>AFS-52252</t>
  </si>
  <si>
    <t>001190056-4</t>
  </si>
  <si>
    <t>MGZ-1488070780821768 (1711594)</t>
  </si>
  <si>
    <t>AFS-52267</t>
  </si>
  <si>
    <t>001157224-4</t>
  </si>
  <si>
    <t>MZN-702-9391693-7241831 (1779598)</t>
  </si>
  <si>
    <t>AFS-52280</t>
  </si>
  <si>
    <t>001205271-4</t>
  </si>
  <si>
    <t>MGZ-1490870783047223 (1752203)</t>
  </si>
  <si>
    <t>AFS-52307</t>
  </si>
  <si>
    <t>001194602-4</t>
  </si>
  <si>
    <t>MGZ-1495370667025691 (1781617)</t>
  </si>
  <si>
    <t>AFS-52339</t>
  </si>
  <si>
    <t>001206846-4</t>
  </si>
  <si>
    <t>MGZ-1492770665388641 (1769624)</t>
  </si>
  <si>
    <t>AFS-52349</t>
  </si>
  <si>
    <t>001197456-4</t>
  </si>
  <si>
    <t>WBC-A001275987394 (1771014)</t>
  </si>
  <si>
    <t>AFS-52356</t>
  </si>
  <si>
    <t>001198068-4</t>
  </si>
  <si>
    <t>MGZ-1488270780902589 (1712828)</t>
  </si>
  <si>
    <t>AFS-52461</t>
  </si>
  <si>
    <t>001157798-4</t>
  </si>
  <si>
    <t>MGZ-1493070665528151 (1770891)</t>
  </si>
  <si>
    <t>AFS-52521</t>
  </si>
  <si>
    <t>001198509-4</t>
  </si>
  <si>
    <t>MLP-46013478184 (1767019)</t>
  </si>
  <si>
    <t>AFS-52526</t>
  </si>
  <si>
    <t>001195871-4</t>
  </si>
  <si>
    <t>MGZ-1488970781275712 (1718690)</t>
  </si>
  <si>
    <t>AFS-52554</t>
  </si>
  <si>
    <t>001162501-4</t>
  </si>
  <si>
    <t>MGZ-1484370778493220 (1661767)</t>
  </si>
  <si>
    <t>AFS-52612</t>
  </si>
  <si>
    <t>001125807-4</t>
  </si>
  <si>
    <t>MLC-45984511485 (1759854)</t>
  </si>
  <si>
    <t>AFS-52663</t>
  </si>
  <si>
    <t>001191169-4</t>
  </si>
  <si>
    <t>BNR-1583244593104-01 (1778839)</t>
  </si>
  <si>
    <t>AFS-52674</t>
  </si>
  <si>
    <t>001204587-4</t>
  </si>
  <si>
    <t>MLC-46007974538 (1766243)</t>
  </si>
  <si>
    <t>AFS-52728</t>
  </si>
  <si>
    <t>001194270-4</t>
  </si>
  <si>
    <t>MGZ-1491670664760939 (1764565)</t>
  </si>
  <si>
    <t>AFS-52734</t>
  </si>
  <si>
    <t>001191343-4</t>
  </si>
  <si>
    <t>MLP-45918536896 (1715739)</t>
  </si>
  <si>
    <t>AFS-52770</t>
  </si>
  <si>
    <t>001160673-4</t>
  </si>
  <si>
    <t>MZN-702-5438334-0995422 (1755346)</t>
  </si>
  <si>
    <t>AFS-52786</t>
  </si>
  <si>
    <t>001190391-4</t>
  </si>
  <si>
    <t>VVJ-49396046101 (1774718)</t>
  </si>
  <si>
    <t>AFS-52789</t>
  </si>
  <si>
    <t>001201639-4</t>
  </si>
  <si>
    <t>MGZ-1490870783117456 (1754033)</t>
  </si>
  <si>
    <t>AFS-52799</t>
  </si>
  <si>
    <t>001187121-4</t>
  </si>
  <si>
    <t>1581771770290-01 (1770290)</t>
  </si>
  <si>
    <t>AFS-52801</t>
  </si>
  <si>
    <t>001198103-4</t>
  </si>
  <si>
    <t>MGZ-1490070781888902 (1729174)</t>
  </si>
  <si>
    <t>AFS-52802</t>
  </si>
  <si>
    <t>001170713-4</t>
  </si>
  <si>
    <t>MGZ-1497170941995660 (1786701)</t>
  </si>
  <si>
    <t>AFS-52803</t>
  </si>
  <si>
    <t>001211121-4</t>
  </si>
  <si>
    <t>BNR-1582074581311-01 (1772086)</t>
  </si>
  <si>
    <t>AFS-52804</t>
  </si>
  <si>
    <t>001199260-4</t>
  </si>
  <si>
    <t>MZN-701-3348369-4857049 (1774007)</t>
  </si>
  <si>
    <t>AFS-52874</t>
  </si>
  <si>
    <t>001201117-4</t>
  </si>
  <si>
    <t>AFS-52964</t>
  </si>
  <si>
    <t>BNR-1579704555047-01 (1746756)</t>
  </si>
  <si>
    <t>AFS-52970</t>
  </si>
  <si>
    <t>001178900-4</t>
  </si>
  <si>
    <t>MGZ-1497370942088609 (1787524)</t>
  </si>
  <si>
    <t>AFS-52984</t>
  </si>
  <si>
    <t>001211619-4</t>
  </si>
  <si>
    <t>MLP-46084696420 (1779619)</t>
  </si>
  <si>
    <t>AFS-52990</t>
  </si>
  <si>
    <t>001206434-4</t>
  </si>
  <si>
    <t>MGZ-1490670782810417 (1746347)</t>
  </si>
  <si>
    <t>AFS-53047</t>
  </si>
  <si>
    <t>001182668-4</t>
  </si>
  <si>
    <t>MGZ-1492170665037161 (1766956)</t>
  </si>
  <si>
    <t>AFS-53071</t>
  </si>
  <si>
    <t>001194969-4</t>
  </si>
  <si>
    <t>MGZ-1497070941965209 (1786437)</t>
  </si>
  <si>
    <t>AFS-53162</t>
  </si>
  <si>
    <t>001211111-4</t>
  </si>
  <si>
    <t>MLP-46092998125 (1780871)</t>
  </si>
  <si>
    <t>AFS-53167</t>
  </si>
  <si>
    <t>001206055-4</t>
  </si>
  <si>
    <t>Dias em Atraso</t>
  </si>
  <si>
    <t>Rótulos de Linha</t>
  </si>
  <si>
    <t>Total Geral</t>
  </si>
  <si>
    <t>Rótulos de Coluna</t>
  </si>
  <si>
    <t>Contagem de Dias em Atraso</t>
  </si>
  <si>
    <t>SLA</t>
  </si>
  <si>
    <t>Data Atual</t>
  </si>
  <si>
    <t>Data</t>
  </si>
  <si>
    <t>Dia da Semana</t>
  </si>
  <si>
    <t>Feriado</t>
  </si>
  <si>
    <t>quarta-feira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</si>
  <si>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</si>
  <si>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</si>
  <si>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</si>
  <si>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</si>
  <si>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</si>
  <si>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</si>
  <si>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Tiradentes</t>
  </si>
  <si>
    <t>quinta-feira</t>
  </si>
  <si>
    <t>Dia do Trabalho</t>
  </si>
  <si>
    <t>Corpus Christi</t>
  </si>
  <si>
    <t>domingo</t>
  </si>
  <si>
    <t>Independência do Brasil</t>
  </si>
  <si>
    <r>
      <t>Nossa Sr.</t>
    </r>
    <r>
      <rPr>
        <vertAlign val="superscript"/>
        <sz val="7"/>
        <color rgb="FF666666"/>
        <rFont val="Verdana"/>
        <family val="2"/>
      </rPr>
      <t>a</t>
    </r>
    <r>
      <rPr>
        <sz val="7"/>
        <color rgb="FF666666"/>
        <rFont val="Verdana"/>
        <family val="2"/>
      </rPr>
      <t> Aparecida - Padroeira do Brasil</t>
    </r>
  </si>
  <si>
    <t>Finados</t>
  </si>
  <si>
    <t>sábado</t>
  </si>
  <si>
    <t>Proclamação da República</t>
  </si>
  <si>
    <t>Dia Nacional de Zumbi e da Consciência Negra</t>
  </si>
  <si>
    <t>Natal</t>
  </si>
  <si>
    <t>MGZ-1490470782380057 (1738180)</t>
  </si>
  <si>
    <t>AFS-53311</t>
  </si>
  <si>
    <t>MGZ-1484570778666335 (1663635)</t>
  </si>
  <si>
    <t>AFS-53355</t>
  </si>
  <si>
    <t>1583011777591-01 (1777591)</t>
  </si>
  <si>
    <t>AFS-53374</t>
  </si>
  <si>
    <t>001177170-4</t>
  </si>
  <si>
    <t>001127770-4</t>
  </si>
  <si>
    <t>001205509-4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</si>
</sst>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7"/>
      <color rgb="FFFFFFFF"/>
      <name val="Verdana"/>
      <family val="2"/>
    </font>
    <font>
      <sz val="7"/>
      <color rgb="FF666666"/>
      <name val="Verdana"/>
      <family val="2"/>
    </font>
    <font>
      <vertAlign val="superscript"/>
      <sz val="7"/>
      <color rgb="FF666666"/>
      <name val="Verdana"/>
      <family val="2"/>
    </font>
    <font>
      <b/>
      <sz val="11"/>
      <color theme="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39598"/>
        <bgColor indexed="64"/>
      </patternFill>
    </fill>
    <fill>
      <patternFill patternType="solid">
        <fgColor rgb="FFF1F1F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" fillId="3" borderId="0" xfId="0" applyFont="1" applyFill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4" borderId="1" xfId="0" applyNumberFormat="1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14" fontId="1" fillId="3" borderId="0" xfId="0" applyNumberFormat="1" applyFont="1" applyFill="1" applyAlignment="1">
      <alignment horizontal="left" vertical="center" wrapText="1" indent="1"/>
    </xf>
    <xf numFmtId="0" fontId="4" fillId="5" borderId="1" xfId="0" applyFont="1" applyFill="1" applyBorder="1"/>
    <xf numFmtId="0" fontId="0" fillId="0" borderId="1" xfId="0" applyBorder="1"/>
    <xf numFmtId="14" fontId="0" fillId="0" borderId="1" xfId="0" applyNumberFormat="1" applyBorder="1"/>
    <xf numFmtId="14" fontId="4" fillId="5" borderId="1" xfId="0" applyNumberFormat="1" applyFont="1" applyFill="1" applyBorder="1"/>
    <xf numFmtId="1" fontId="4" fillId="5" borderId="1" xfId="0" applyNumberFormat="1" applyFont="1" applyFill="1" applyBorder="1"/>
    <xf numFmtId="1" fontId="0" fillId="0" borderId="0" xfId="0" applyNumberFormat="1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asceno, Carlos Eduardo (Midea Carrier)" refreshedDate="46032.830039583336" createdVersion="8" refreshedVersion="8" minRefreshableVersion="3" recordCount="343" xr:uid="{99EC4168-B1C9-4528-A8F3-49C294A450D1}">
  <cacheSource type="worksheet">
    <worksheetSource name="Tabela1"/>
  </cacheSource>
  <cacheFields count="6">
    <cacheField name="Data Criada" numFmtId="164">
      <sharedItems count="75">
        <s v="13.08.2025"/>
        <s v="14.08.2025"/>
        <s v="15.08.2025"/>
        <s v="18.08.2025"/>
        <s v="19.08.2025"/>
        <s v="20.08.2025"/>
        <s v="21.08.2025"/>
        <s v="22.08.2025"/>
        <s v="25.08.2025"/>
        <s v="26.08.2025"/>
        <s v="27.08.2025"/>
        <s v="28.08.2025"/>
        <s v="29.08.2025"/>
        <s v="03.09.2025"/>
        <s v="04.09.2025"/>
        <s v="05.09.2025"/>
        <s v="08.09.2025"/>
        <s v="09.09.2025"/>
        <s v="10.09.2025"/>
        <s v="11.09.2025"/>
        <s v="12.09.2025"/>
        <s v="15.09.2025"/>
        <s v="16.09.2025"/>
        <s v="17.09.2025"/>
        <s v="18.09.2025"/>
        <s v="19.09.2025"/>
        <s v="22.09.2025"/>
        <s v="23.09.2025"/>
        <s v="24.09.2025"/>
        <s v="25.09.2025"/>
        <s v="30.09.2025"/>
        <s v="01.10.2025"/>
        <s v="15.10.2025"/>
        <s v="21.10.2025"/>
        <s v="23.10.2025"/>
        <s v="24.10.2025"/>
        <s v="27.10.2025"/>
        <s v="28.10.2025"/>
        <s v="29.10.2025"/>
        <s v="30.10.2025"/>
        <s v="31.10.2025"/>
        <s v="03.11.2025"/>
        <s v="04.11.2025"/>
        <s v="05.11.2025"/>
        <s v="06.11.2025"/>
        <s v="07.11.2025"/>
        <s v="10.11.2025"/>
        <s v="11.11.2025"/>
        <s v="14.11.2025"/>
        <s v="17.11.2025"/>
        <s v="18.11.2025"/>
        <s v="19.11.2025"/>
        <s v="26.11.2025"/>
        <s v="27.11.2025"/>
        <s v="28.11.2025"/>
        <s v="02.12.2025"/>
        <s v="03.12.2025"/>
        <s v="05.12.2025"/>
        <s v="08.12.2025"/>
        <s v="09.12.2025"/>
        <s v="10.12.2025"/>
        <s v="11.12.2025"/>
        <s v="12.12.2025"/>
        <s v="15.12.2025"/>
        <s v="16.12.2025"/>
        <s v="19.12.2025"/>
        <s v="22.12.2025"/>
        <s v="23.12.2025"/>
        <s v="29.12.2025"/>
        <s v="30.12.2025"/>
        <s v="05.01.2026"/>
        <s v="06.01.2026"/>
        <s v="07.01.2026"/>
        <s v="08.01.2026"/>
        <s v="09.01.2026"/>
      </sharedItems>
    </cacheField>
    <cacheField name="Pedido" numFmtId="0">
      <sharedItems/>
    </cacheField>
    <cacheField name="After Sales" numFmtId="0">
      <sharedItems count="343">
        <s v="AFS-33241"/>
        <s v="AFS-33235"/>
        <s v="AFS-33233"/>
        <s v="AFS-33228"/>
        <s v="AFS-33224"/>
        <s v="AFS-33247"/>
        <s v="AFS-33244"/>
        <s v="AFS-33135"/>
        <s v="AFS-33136"/>
        <s v="AFS-33138"/>
        <s v="AFS-33139"/>
        <s v="AFS-33141"/>
        <s v="AFS-33145"/>
        <s v="AFS-33254"/>
        <s v="AFS-33484"/>
        <s v="AFS-33480"/>
        <s v="AFS-33478"/>
        <s v="AFS-33471"/>
        <s v="AFS-33466"/>
        <s v="AFS-33463"/>
        <s v="AFS-33455"/>
        <s v="AFS-33448"/>
        <s v="AFS-33386"/>
        <s v="AFS-33722"/>
        <s v="AFS-33718"/>
        <s v="AFS-33713"/>
        <s v="AFS-33712"/>
        <s v="AFS-33706"/>
        <s v="AFS-33702"/>
        <s v="AFS-33701"/>
        <s v="AFS-33696"/>
        <s v="AFS-33894"/>
        <s v="AFS-34152"/>
        <s v="AFS-34156"/>
        <s v="AFS-34185"/>
        <s v="AFS-34190"/>
        <s v="AFS-34193"/>
        <s v="AFS-34474"/>
        <s v="AFS-34589"/>
        <s v="AFS-34607"/>
        <s v="AFS-34725"/>
        <s v="AFS-34756"/>
        <s v="AFS-34782"/>
        <s v="AFS-34790"/>
        <s v="AFS-34792"/>
        <s v="AFS-34798"/>
        <s v="AFS-34863"/>
        <s v="AFS-35068"/>
        <s v="AFS-35081"/>
        <s v="AFS-35084"/>
        <s v="AFS-35113"/>
        <s v="AFS-35153"/>
        <s v="AFS-35160"/>
        <s v="AFS-35220"/>
        <s v="AFS-35222"/>
        <s v="AFS-35244"/>
        <s v="AFS-35248"/>
        <s v="AFS-35250"/>
        <s v="AFS-35309"/>
        <s v="AFS-35315"/>
        <s v="AFS-35428"/>
        <s v="AFS-35570"/>
        <s v="AFS-35580"/>
        <s v="AFS-35584"/>
        <s v="AFS-35588"/>
        <s v="AFS-35597"/>
        <s v="AFS-35609"/>
        <s v="AFS-35610"/>
        <s v="AFS-35657"/>
        <s v="AFS-35662"/>
        <s v="AFS-35666"/>
        <s v="AFS-35220 "/>
        <s v="AFS-35229"/>
        <s v="AFS-35922"/>
        <s v="AFS-36548"/>
        <s v="AFS-36552"/>
        <s v="AFS-36556"/>
        <s v="AFS-36852"/>
        <s v="AFS-36857"/>
        <s v="AFS-36864"/>
        <s v="AFS-36873"/>
        <s v="AFS-36879"/>
        <s v="AFS-36881"/>
        <s v="AFS-36999"/>
        <s v="AFS-37016"/>
        <s v="AFS-37044"/>
        <s v="AFS-37051"/>
        <s v="AFS-37056"/>
        <s v="AFS-37059"/>
        <s v="AFS-37065"/>
        <s v="AFS-37066"/>
        <s v="AFS-37067"/>
        <s v="AFS-37068"/>
        <s v="AFS-37070"/>
        <s v="AFS-37071"/>
        <s v="AFS-37073"/>
        <s v="AFS-37292"/>
        <s v="AFS-37415"/>
        <s v="AFS-37709"/>
        <s v="AFS-37753"/>
        <s v="AFS-37812"/>
        <s v="AFS-37824"/>
        <s v="AFS-37855"/>
        <s v="AFS-37865"/>
        <s v="AFS-37870"/>
        <s v="AFS-37871"/>
        <s v="AFS-37872"/>
        <s v="AFS-37875"/>
        <s v="AFS-37879"/>
        <s v="AFS-37885"/>
        <s v="AFS-37908"/>
        <s v="AFS-37924"/>
        <s v="AFS-37925"/>
        <s v="AFS-37929"/>
        <s v="AFS-37930"/>
        <s v="AFS-38044"/>
        <s v="AFS-38049"/>
        <s v="AFS-38053"/>
        <s v="AFS-38055"/>
        <s v="AFS-38057"/>
        <s v="AFS-38062"/>
        <s v="AFS-38179"/>
        <s v="AFS-38176"/>
        <s v="AFS-38191"/>
        <s v="AFS-38195"/>
        <s v="AFS-38201"/>
        <s v="AFS-38224"/>
        <s v="AFS-38410"/>
        <s v="AFS-38487"/>
        <s v="AFS-38491"/>
        <s v="AFS-38504"/>
        <s v="AFS-38627"/>
        <s v="AFS-38688"/>
        <s v="AFS-38699"/>
        <s v="AFS-38802"/>
        <s v="AFS-38807"/>
        <s v="AFS-38813"/>
        <s v="AFS-38872"/>
        <s v="AFS-38985"/>
        <s v="AFS-39087"/>
        <s v="AFS-39336"/>
        <s v="AFS-39337"/>
        <s v="AFS-39351"/>
        <s v="AFS-39453"/>
        <s v="AFS-39457"/>
        <s v="AFS-39585"/>
        <s v="AFS-39589"/>
        <s v="AFS-39598"/>
        <s v="AFS-39786"/>
        <s v="AFS-40269"/>
        <s v="AFS-40473"/>
        <s v="AFS-42330"/>
        <s v="AFS-42925"/>
        <s v="AFS-42938"/>
        <s v="AFS-43251"/>
        <s v="AFS-43371"/>
        <s v="AFS-43376"/>
        <s v="AFS-43387"/>
        <s v="AFS-43466"/>
        <s v="AFS-43856"/>
        <s v="AFS-43922"/>
        <s v="AFS-43975"/>
        <s v="AFS-44052"/>
        <s v="AFS-44062"/>
        <s v="AFS-44125"/>
        <s v="AFS-44163"/>
        <s v="AFS-44194"/>
        <s v="AFS-44206"/>
        <s v="AFS-44216"/>
        <s v="AFS-44218"/>
        <s v="AFS-44228"/>
        <s v="AFS-44457"/>
        <s v="AFS-44654"/>
        <s v="AFS-44914"/>
        <s v="AFS-44962"/>
        <s v="AFS-44964"/>
        <s v="AFS-44973"/>
        <s v="AFS-45041"/>
        <s v="AFS-45064"/>
        <s v="AFS-45091"/>
        <s v="AFS-45185"/>
        <s v="AFS-45231"/>
        <s v="AFS-45400"/>
        <s v="AFS-45475"/>
        <s v="AFS-45479"/>
        <s v="AFS-45482"/>
        <s v="AFS-45488"/>
        <s v="AFS-45519"/>
        <s v="AFS-45534"/>
        <s v="AFS-45645"/>
        <s v="AFS-45684"/>
        <s v="AFS-45707"/>
        <s v="AFS-45715"/>
        <s v="AFS-46249"/>
        <s v="AFS-46545"/>
        <s v="AFS-46650"/>
        <s v="AFS-46757"/>
        <s v="AFS-46797"/>
        <s v="AFS-46847"/>
        <s v="AFS-46878"/>
        <s v="AFS-46880"/>
        <s v="AFS-46881"/>
        <s v="AFS-47542"/>
        <s v="AFS-46260"/>
        <s v="AFS-47612"/>
        <s v="AFS-47616"/>
        <s v="AFS-47624"/>
        <s v="AFS-47636"/>
        <s v="AFS-47639"/>
        <s v="AFS-47847"/>
        <s v="AFS-47849"/>
        <s v="AFS-47851"/>
        <s v="AFS-47857"/>
        <s v="AFS-47864"/>
        <s v="AFS-47877"/>
        <s v="AFS-47942"/>
        <s v="AFS-48005"/>
        <s v="AFS-48053"/>
        <s v="AFS-48063"/>
        <s v="AFS-48325"/>
        <s v="AFS-48376"/>
        <s v="AFS-48512"/>
        <s v="AFS-48520"/>
        <s v="AFS-48534"/>
        <s v="AFS-48602"/>
        <s v="AFS-48877"/>
        <s v="AFS-48920"/>
        <s v="AFS-48927"/>
        <s v="AFS-48929"/>
        <s v="AFS-48931"/>
        <s v="AFS-49000"/>
        <s v="AFS-49090"/>
        <s v="AFS-49094"/>
        <s v="AFS-49096"/>
        <s v="AFS-49098"/>
        <s v="AFS-49272"/>
        <s v="AFS-49355"/>
        <s v="AFS-49385"/>
        <s v="AFS-49401"/>
        <s v="AFS-49552"/>
        <s v="AFS-49560"/>
        <s v="AFS-49685"/>
        <s v="AFS-49782"/>
        <s v="AFS-49788"/>
        <s v="AFS-49958"/>
        <s v="AFS-49960"/>
        <s v="AFS-49963"/>
        <s v="AFS-50035"/>
        <s v="AFS-50038"/>
        <s v="AFS-50040"/>
        <s v="AFS-50047"/>
        <s v="AFS-50049"/>
        <s v="AFS-50053"/>
        <s v="AFS-50054"/>
        <s v="AFS-50056"/>
        <s v="AFS-50059"/>
        <s v="AFS-50063"/>
        <s v="AFS-50067"/>
        <s v="AFS-50078"/>
        <s v="AFS-50114"/>
        <s v="AFS-50115"/>
        <s v="AFS-50145"/>
        <s v="AFS-50157"/>
        <s v="AFS-50193"/>
        <s v="AFS-50259"/>
        <s v="AFS-50293"/>
        <s v="AFS-50338"/>
        <s v="AFS-50344"/>
        <s v="AFS-50945"/>
        <s v="AFS-50979"/>
        <s v="AFS-51049"/>
        <s v="AFS-51101"/>
        <s v="AFS-51133"/>
        <s v="AFS-51156"/>
        <s v="AFS-51188"/>
        <s v="AFS-51293"/>
        <s v="AFS-51314"/>
        <s v="AFS-51319"/>
        <s v="AFS-51400"/>
        <s v="AFS-51633"/>
        <s v="AFS-51645"/>
        <s v="AFS-51656"/>
        <s v="AFS-51674"/>
        <s v="AFS-51696"/>
        <s v="AFS-51708"/>
        <s v="AFS-51744"/>
        <s v="AFS-51750"/>
        <s v="AFS-51752"/>
        <s v="AFS-51754"/>
        <s v="AFS-51762"/>
        <s v="AFS-51802"/>
        <s v="AFS-51862"/>
        <s v="AFS-51910"/>
        <s v="AFS-51920"/>
        <s v="AFS-51926"/>
        <s v="AFS-51937"/>
        <s v="AFS-51938"/>
        <s v="AFS-51942"/>
        <s v="AFS-51943"/>
        <s v="AFS-51944"/>
        <s v="AFS-51945"/>
        <s v="AFS-51946"/>
        <s v="AFS-51947"/>
        <s v="AFS-51948"/>
        <s v="AFS-51949"/>
        <s v="AFS-52189"/>
        <s v="AFS-52196"/>
        <s v="AFS-52203"/>
        <s v="AFS-52224"/>
        <s v="AFS-52227"/>
        <s v="AFS-52252"/>
        <s v="AFS-52267"/>
        <s v="AFS-52280"/>
        <s v="AFS-52307"/>
        <s v="AFS-52339"/>
        <s v="AFS-52349"/>
        <s v="AFS-52356"/>
        <s v="AFS-52461"/>
        <s v="AFS-52521"/>
        <s v="AFS-52526"/>
        <s v="AFS-52554"/>
        <s v="AFS-52612"/>
        <s v="AFS-52663"/>
        <s v="AFS-52674"/>
        <s v="AFS-52728"/>
        <s v="AFS-52734"/>
        <s v="AFS-52770"/>
        <s v="AFS-52786"/>
        <s v="AFS-52789"/>
        <s v="AFS-52799"/>
        <s v="AFS-52801"/>
        <s v="AFS-52802"/>
        <s v="AFS-52803"/>
        <s v="AFS-52804"/>
        <s v="AFS-52874"/>
        <s v="AFS-52964"/>
        <s v="AFS-52970"/>
        <s v="AFS-52984"/>
        <s v="AFS-52990"/>
        <s v="AFS-53047"/>
        <s v="AFS-53071"/>
        <s v="AFS-53162"/>
        <s v="AFS-53167"/>
      </sharedItems>
    </cacheField>
    <cacheField name="Nfe" numFmtId="0">
      <sharedItems/>
    </cacheField>
    <cacheField name="Finalizado" numFmtId="0">
      <sharedItems count="2">
        <s v="Resolvido"/>
        <s v="Em aberto"/>
      </sharedItems>
    </cacheField>
    <cacheField name="Dias em Atraso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x v="0"/>
    <s v="MGZ-LU-1453770462996658 (1484243)"/>
    <x v="0"/>
    <s v="001001884-4"/>
    <x v="0"/>
    <e v="#VALUE!"/>
  </r>
  <r>
    <x v="0"/>
    <s v="WBC-A001239641937 (1493008)"/>
    <x v="1"/>
    <s v="001009597-4"/>
    <x v="0"/>
    <e v="#VALUE!"/>
  </r>
  <r>
    <x v="0"/>
    <s v="MGZ-LU-1455970464077277 (1494748)"/>
    <x v="2"/>
    <s v="001010494-4"/>
    <x v="0"/>
    <e v="#VALUE!"/>
  </r>
  <r>
    <x v="0"/>
    <s v="MZN-702-6023172-5077048 (1494718)"/>
    <x v="3"/>
    <s v="001010578-4"/>
    <x v="0"/>
    <e v="#VALUE!"/>
  </r>
  <r>
    <x v="0"/>
    <s v="MGZ-LU-1454570463352116 (1488895)"/>
    <x v="4"/>
    <s v="001006166-4"/>
    <x v="0"/>
    <e v="#VALUE!"/>
  </r>
  <r>
    <x v="0"/>
    <s v="MLC-45251905722 (1501073)"/>
    <x v="5"/>
    <s v="001014424-4"/>
    <x v="1"/>
    <e v="#VALUE!"/>
  </r>
  <r>
    <x v="0"/>
    <s v="MGZ-LU-1444770458496723 (1429703)"/>
    <x v="6"/>
    <s v="000968403-4"/>
    <x v="1"/>
    <e v="#VALUE!"/>
  </r>
  <r>
    <x v="0"/>
    <s v="VVJ-47496815401 (1481639)"/>
    <x v="7"/>
    <s v="001000706-4"/>
    <x v="0"/>
    <e v="#VALUE!"/>
  </r>
  <r>
    <x v="0"/>
    <s v="WBC-A001235752297 (1458183)"/>
    <x v="8"/>
    <s v="000985870-4"/>
    <x v="0"/>
    <e v="#VALUE!"/>
  </r>
  <r>
    <x v="0"/>
    <s v="MGZ-LU-1456070464135473 (1495317)"/>
    <x v="9"/>
    <s v="001010969-4"/>
    <x v="0"/>
    <e v="#VALUE!"/>
  </r>
  <r>
    <x v="0"/>
    <s v="MGZ-LU-1458670465210402 (1507168)"/>
    <x v="10"/>
    <s v="001018182-4"/>
    <x v="0"/>
    <e v="#VALUE!"/>
  </r>
  <r>
    <x v="0"/>
    <s v="MLP-45230625438 (1495348)"/>
    <x v="11"/>
    <s v="001011408-4"/>
    <x v="1"/>
    <e v="#VALUE!"/>
  </r>
  <r>
    <x v="0"/>
    <s v="MLP-45230625438 (1495348)"/>
    <x v="12"/>
    <s v="001011408-4"/>
    <x v="1"/>
    <e v="#VALUE!"/>
  </r>
  <r>
    <x v="0"/>
    <s v="MGZ-LU-1459670465861779 (1512468)"/>
    <x v="13"/>
    <s v="001020008-4"/>
    <x v="0"/>
    <e v="#VALUE!"/>
  </r>
  <r>
    <x v="1"/>
    <s v="WBC-A001235402282 (1455503)"/>
    <x v="14"/>
    <s v="000983781-4"/>
    <x v="1"/>
    <e v="#VALUE!"/>
  </r>
  <r>
    <x v="1"/>
    <s v="MLP-45009397421 (1428423)"/>
    <x v="15"/>
    <s v="000967375-4"/>
    <x v="1"/>
    <e v="#VALUE!"/>
  </r>
  <r>
    <x v="1"/>
    <s v="LVL-O9909861431967 (1427546)"/>
    <x v="16"/>
    <s v="000966943-4"/>
    <x v="1"/>
    <e v="#VALUE!"/>
  </r>
  <r>
    <x v="1"/>
    <s v="WBC-A001235402282 (1455503)"/>
    <x v="17"/>
    <s v="000983781-4"/>
    <x v="1"/>
    <e v="#VALUE!"/>
  </r>
  <r>
    <x v="1"/>
    <s v="MGZ-LU-1456470464304973 (1497248)"/>
    <x v="18"/>
    <s v="001012406-4"/>
    <x v="1"/>
    <e v="#VALUE!"/>
  </r>
  <r>
    <x v="1"/>
    <s v="MGZ-LU-1458870465299331 (1507873)"/>
    <x v="19"/>
    <s v="001019318-4"/>
    <x v="0"/>
    <e v="#VALUE!"/>
  </r>
  <r>
    <x v="1"/>
    <s v="CRF-5612396080001-A (1507241)"/>
    <x v="20"/>
    <s v="001018333-4"/>
    <x v="0"/>
    <e v="#VALUE!"/>
  </r>
  <r>
    <x v="1"/>
    <s v="1550781503361-01 (1503361)"/>
    <x v="21"/>
    <s v="001016092-4"/>
    <x v="0"/>
    <e v="#VALUE!"/>
  </r>
  <r>
    <x v="1"/>
    <s v="MGZ-LU-1458170465005358 (1505440)"/>
    <x v="22"/>
    <s v="001017887-4"/>
    <x v="0"/>
    <e v="#VALUE!"/>
  </r>
  <r>
    <x v="2"/>
    <s v="MLC-45291927120 (1510301)"/>
    <x v="23"/>
    <s v="001020955-4"/>
    <x v="1"/>
    <e v="#VALUE!"/>
  </r>
  <r>
    <x v="2"/>
    <s v="MLC-45257255666 (1502494)"/>
    <x v="24"/>
    <s v="001015598-4."/>
    <x v="1"/>
    <e v="#VALUE!"/>
  </r>
  <r>
    <x v="2"/>
    <s v="MGZ-LU-1453970463084152 (1485718)"/>
    <x v="25"/>
    <s v="001004808-4"/>
    <x v="1"/>
    <e v="#VALUE!"/>
  </r>
  <r>
    <x v="2"/>
    <s v="MLC-45184980874 (1483944)"/>
    <x v="26"/>
    <s v="001002008-4"/>
    <x v="1"/>
    <e v="#VALUE!"/>
  </r>
  <r>
    <x v="2"/>
    <s v="MLC-45269411832 (1505306)"/>
    <x v="27"/>
    <s v="001017588-4"/>
    <x v="1"/>
    <e v="#VALUE!"/>
  </r>
  <r>
    <x v="2"/>
    <s v="VVJ-47381460901 (1464131)"/>
    <x v="28"/>
    <s v="000989603-4"/>
    <x v="1"/>
    <e v="#VALUE!"/>
  </r>
  <r>
    <x v="2"/>
    <s v="WBC-A001239641937 (1493008)"/>
    <x v="29"/>
    <s v="001009597-4"/>
    <x v="1"/>
    <e v="#VALUE!"/>
  </r>
  <r>
    <x v="2"/>
    <s v="MZN-701-3036571-5221850 (1502586)"/>
    <x v="30"/>
    <s v="001015706-4"/>
    <x v="1"/>
    <e v="#VALUE!"/>
  </r>
  <r>
    <x v="3"/>
    <s v="MZN-702-4622854-6084211 (1485949)"/>
    <x v="31"/>
    <s v="001003582-4"/>
    <x v="1"/>
    <e v="#VALUE!"/>
  </r>
  <r>
    <x v="4"/>
    <s v="MGZ-LU-1459670465901880 (1512783)"/>
    <x v="32"/>
    <s v="001023361-4"/>
    <x v="1"/>
    <e v="#VALUE!"/>
  </r>
  <r>
    <x v="4"/>
    <s v="1550821503736-01 (1503736)"/>
    <x v="33"/>
    <s v="001016674-4"/>
    <x v="1"/>
    <e v="#VALUE!"/>
  </r>
  <r>
    <x v="4"/>
    <s v="MLP-45331478464 (1529913)"/>
    <x v="34"/>
    <s v="001031135-4"/>
    <x v="1"/>
    <e v="#VALUE!"/>
  </r>
  <r>
    <x v="4"/>
    <s v="MLP-45307028386 (1513900)"/>
    <x v="35"/>
    <s v="001023564-4"/>
    <x v="1"/>
    <e v="#VALUE!"/>
  </r>
  <r>
    <x v="4"/>
    <s v="1550301500104-01 (1500104)"/>
    <x v="36"/>
    <s v="001014527-4"/>
    <x v="0"/>
    <e v="#VALUE!"/>
  </r>
  <r>
    <x v="5"/>
    <s v="MGZ-LU-1455870464039409 (1494425)"/>
    <x v="37"/>
    <s v="001010476-4"/>
    <x v="1"/>
    <e v="#VALUE!"/>
  </r>
  <r>
    <x v="6"/>
    <s v="MLC-45126054808 (1464631)"/>
    <x v="38"/>
    <s v="000989356-4"/>
    <x v="1"/>
    <e v="#VALUE!"/>
  </r>
  <r>
    <x v="6"/>
    <s v="1554211535672-01 (1535672)"/>
    <x v="39"/>
    <s v="001036061-4"/>
    <x v="1"/>
    <e v="#VALUE!"/>
  </r>
  <r>
    <x v="7"/>
    <s v="CRF-5615315750001-A (1518608)"/>
    <x v="40"/>
    <s v="001026669-4"/>
    <x v="0"/>
    <e v="#VALUE!"/>
  </r>
  <r>
    <x v="7"/>
    <s v="MLP-45334831395 (1531632)"/>
    <x v="41"/>
    <s v="001033666-4"/>
    <x v="1"/>
    <e v="#VALUE!"/>
  </r>
  <r>
    <x v="7"/>
    <s v="LVL-O9909861431967 (1427546)"/>
    <x v="42"/>
    <s v="001036241-4"/>
    <x v="0"/>
    <e v="#VALUE!"/>
  </r>
  <r>
    <x v="7"/>
    <s v="MGZ-LU-1459970466094252 (1514498)"/>
    <x v="43"/>
    <s v="001024517-4"/>
    <x v="0"/>
    <e v="#VALUE!"/>
  </r>
  <r>
    <x v="7"/>
    <s v="WBC-A001242765067 (1516959)"/>
    <x v="44"/>
    <s v="001025567-4"/>
    <x v="0"/>
    <e v="#VALUE!"/>
  </r>
  <r>
    <x v="7"/>
    <s v="MGZ-LU-1458870465330706 (1508137)"/>
    <x v="45"/>
    <s v="001019583-4"/>
    <x v="0"/>
    <e v="#VALUE!"/>
  </r>
  <r>
    <x v="7"/>
    <s v="MGZ-LU-1456470464300180 (1497190)"/>
    <x v="46"/>
    <s v="001012725-4"/>
    <x v="0"/>
    <e v="#VALUE!"/>
  </r>
  <r>
    <x v="8"/>
    <s v="CRF-5615315750001-A (1518608)"/>
    <x v="47"/>
    <s v="001026669-4"/>
    <x v="1"/>
    <e v="#VALUE!"/>
  </r>
  <r>
    <x v="8"/>
    <s v="MLP-45396612028 (1555244)"/>
    <x v="48"/>
    <s v="001036241-4"/>
    <x v="1"/>
    <e v="#VALUE!"/>
  </r>
  <r>
    <x v="8"/>
    <s v="WBC-A001244131735 (1538972)"/>
    <x v="49"/>
    <s v="001038635-4"/>
    <x v="0"/>
    <e v="#VALUE!"/>
  </r>
  <r>
    <x v="8"/>
    <s v="1554471539004-01 (1539004)"/>
    <x v="50"/>
    <s v="001038537-4"/>
    <x v="0"/>
    <e v="#VALUE!"/>
  </r>
  <r>
    <x v="9"/>
    <s v="VVJ-47818413301 (1530025)"/>
    <x v="51"/>
    <s v="001033537-4"/>
    <x v="0"/>
    <e v="#VALUE!"/>
  </r>
  <r>
    <x v="9"/>
    <s v="BNR-1554384315131-01 (1537196)"/>
    <x v="52"/>
    <s v="001038530-4"/>
    <x v="0"/>
    <e v="#VALUE!"/>
  </r>
  <r>
    <x v="9"/>
    <s v="MLP-45327740322 (1527577)"/>
    <x v="53"/>
    <s v="001031308-4"/>
    <x v="0"/>
    <e v="#VALUE!"/>
  </r>
  <r>
    <x v="9"/>
    <s v="BNR-1553764308196-01 (1530009)"/>
    <x v="54"/>
    <s v="001033085-4"/>
    <x v="0"/>
    <e v="#VALUE!"/>
  </r>
  <r>
    <x v="9"/>
    <s v="MLP-45280684820 (1507709)"/>
    <x v="55"/>
    <s v="001019931-4"/>
    <x v="1"/>
    <e v="#VALUE!"/>
  </r>
  <r>
    <x v="9"/>
    <s v="MLC-45321457064 (1520142)"/>
    <x v="56"/>
    <s v="001026732-4"/>
    <x v="0"/>
    <e v="#VALUE!"/>
  </r>
  <r>
    <x v="9"/>
    <s v="MLP-45325667408 (1525798)"/>
    <x v="57"/>
    <s v="001027225-4"/>
    <x v="0"/>
    <e v="#VALUE!"/>
  </r>
  <r>
    <x v="9"/>
    <s v="MLP-45325667408 (1525798)"/>
    <x v="58"/>
    <s v="001027225-4"/>
    <x v="1"/>
    <e v="#VALUE!"/>
  </r>
  <r>
    <x v="9"/>
    <s v="LRM-0032330678-A (1530758)"/>
    <x v="59"/>
    <s v="001035841-4"/>
    <x v="1"/>
    <e v="#VALUE!"/>
  </r>
  <r>
    <x v="10"/>
    <s v="1553451521325-01 (1521325)"/>
    <x v="60"/>
    <s v="001030127-4"/>
    <x v="0"/>
    <e v="#VALUE!"/>
  </r>
  <r>
    <x v="10"/>
    <s v="MGZ-LU-1459870465993526 (1513479)"/>
    <x v="61"/>
    <s v="001023745-4"/>
    <x v="0"/>
    <e v="#VALUE!"/>
  </r>
  <r>
    <x v="10"/>
    <s v="1554381537402-01 (1537402)"/>
    <x v="62"/>
    <s v="001038032-4"/>
    <x v="0"/>
    <e v="#VALUE!"/>
  </r>
  <r>
    <x v="10"/>
    <s v="WBC-A001243633528 (1534059)"/>
    <x v="63"/>
    <s v="001034667-4"/>
    <x v="0"/>
    <e v="#VALUE!"/>
  </r>
  <r>
    <x v="10"/>
    <s v="BNR-1553524305856-01 (1525106)"/>
    <x v="64"/>
    <s v="001028514-4"/>
    <x v="0"/>
    <e v="#VALUE!"/>
  </r>
  <r>
    <x v="10"/>
    <s v="MGZ-LU-1460970466601061 (1527305)"/>
    <x v="65"/>
    <s v="001030783-4"/>
    <x v="0"/>
    <e v="#VALUE!"/>
  </r>
  <r>
    <x v="10"/>
    <s v="MLC-45164858592 (1478007"/>
    <x v="66"/>
    <s v="000998064-4"/>
    <x v="1"/>
    <e v="#VALUE!"/>
  </r>
  <r>
    <x v="10"/>
    <s v="MLP-45354078700 (1541100)"/>
    <x v="67"/>
    <s v="001039285-4"/>
    <x v="0"/>
    <e v="#VALUE!"/>
  </r>
  <r>
    <x v="11"/>
    <s v="1554211535854-01 (1535854)"/>
    <x v="68"/>
    <s v="001039477-4"/>
    <x v="1"/>
    <e v="#VALUE!"/>
  </r>
  <r>
    <x v="11"/>
    <s v="1554371537194-01 (1537194)"/>
    <x v="69"/>
    <s v="001040593-4"/>
    <x v="1"/>
    <e v="#VALUE!"/>
  </r>
  <r>
    <x v="11"/>
    <s v="1553661527411-01 (1527411)"/>
    <x v="70"/>
    <s v="001034723-4"/>
    <x v="1"/>
    <e v="#VALUE!"/>
  </r>
  <r>
    <x v="9"/>
    <s v="MLP-45327740322 (1527577)"/>
    <x v="71"/>
    <s v="001031308-4"/>
    <x v="0"/>
    <e v="#VALUE!"/>
  </r>
  <r>
    <x v="9"/>
    <s v="MGZ-LU-1461270466765833 (1531462)"/>
    <x v="72"/>
    <s v="001035508-4"/>
    <x v="0"/>
    <e v="#VALUE!"/>
  </r>
  <r>
    <x v="12"/>
    <s v="BNR-1554714318526-01 (1541230)"/>
    <x v="73"/>
    <s v="001039620-4"/>
    <x v="0"/>
    <e v="#VALUE!"/>
  </r>
  <r>
    <x v="13"/>
    <s v="BNR-1554924320085-01 (1543145)"/>
    <x v="74"/>
    <s v="001041889-4"/>
    <x v="0"/>
    <e v="#VALUE!"/>
  </r>
  <r>
    <x v="13"/>
    <s v="1554591539690-01 (1539690)"/>
    <x v="75"/>
    <s v="001040003-4"/>
    <x v="1"/>
    <e v="#VALUE!"/>
  </r>
  <r>
    <x v="13"/>
    <s v="WBC-A001244387740 (1541928)"/>
    <x v="76"/>
    <s v="001042185-4"/>
    <x v="0"/>
    <e v="#VALUE!"/>
  </r>
  <r>
    <x v="14"/>
    <s v="MZN-702-5466817-7142661 (1549434)"/>
    <x v="77"/>
    <s v="001046165-4"/>
    <x v="0"/>
    <e v="#VALUE!"/>
  </r>
  <r>
    <x v="14"/>
    <s v="MLP-45386168018 (1551960)"/>
    <x v="78"/>
    <s v="001048203-4"/>
    <x v="0"/>
    <e v="#VALUE!"/>
  </r>
  <r>
    <x v="14"/>
    <s v="1556591554785-01 (1554785)"/>
    <x v="79"/>
    <s v="001050143-4"/>
    <x v="1"/>
    <e v="#VALUE!"/>
  </r>
  <r>
    <x v="14"/>
    <s v="MGZ-LU-1462370467237770 (1541970)"/>
    <x v="80"/>
    <s v="001042121-4"/>
    <x v="0"/>
    <e v="#VALUE!"/>
  </r>
  <r>
    <x v="14"/>
    <s v="MLP-45390056029 (1553148)"/>
    <x v="81"/>
    <s v="001049458-4"/>
    <x v="1"/>
    <e v="#VALUE!"/>
  </r>
  <r>
    <x v="14"/>
    <s v="MLP-45352110512 (1540011)"/>
    <x v="82"/>
    <s v="001039046-4"/>
    <x v="0"/>
    <e v="#VALUE!"/>
  </r>
  <r>
    <x v="15"/>
    <s v="MLP-45320007243 (1518101)"/>
    <x v="83"/>
    <s v="001027624-4"/>
    <x v="1"/>
    <e v="#VALUE!"/>
  </r>
  <r>
    <x v="15"/>
    <s v="MGZ-LU-1463570467879615 (1551196)"/>
    <x v="84"/>
    <s v="001047882-4"/>
    <x v="1"/>
    <e v="#VALUE!"/>
  </r>
  <r>
    <x v="15"/>
    <s v="MGZ-LU-1463170467653179 (1547930)"/>
    <x v="85"/>
    <s v="001045182-4"/>
    <x v="0"/>
    <e v="#VALUE!"/>
  </r>
  <r>
    <x v="15"/>
    <s v="MGZ-LU-1462070467126923 (1539705)"/>
    <x v="86"/>
    <s v="001039907-4"/>
    <x v="0"/>
    <e v="#VALUE!"/>
  </r>
  <r>
    <x v="15"/>
    <s v="MGZ-LU-1466470244157500 (1566196)"/>
    <x v="87"/>
    <s v="001058260-4"/>
    <x v="1"/>
    <e v="#VALUE!"/>
  </r>
  <r>
    <x v="15"/>
    <s v="BNR-1555884328111-01 (1550663)"/>
    <x v="88"/>
    <s v="001047541-4"/>
    <x v="1"/>
    <e v="#VALUE!"/>
  </r>
  <r>
    <x v="15"/>
    <s v="MLP-44973917294 (1415689)"/>
    <x v="89"/>
    <s v="000959619-4"/>
    <x v="1"/>
    <e v="#VALUE!"/>
  </r>
  <r>
    <x v="15"/>
    <s v="MGZ-LU-1446370459246041 (1439530)"/>
    <x v="90"/>
    <s v="000974298-4"/>
    <x v="0"/>
    <e v="#VALUE!"/>
  </r>
  <r>
    <x v="15"/>
    <s v="VVJ-47243239401 (1446070)"/>
    <x v="91"/>
    <s v="000978550-4"/>
    <x v="1"/>
    <e v="#VALUE!"/>
  </r>
  <r>
    <x v="15"/>
    <s v="MGZ-LU-1454470463313319 (1488514)"/>
    <x v="92"/>
    <s v="001005857-4"/>
    <x v="0"/>
    <e v="#VALUE!"/>
  </r>
  <r>
    <x v="15"/>
    <s v="MGZ-LU-1455870464032417 (1494386)"/>
    <x v="93"/>
    <s v="001010152-4"/>
    <x v="0"/>
    <e v="#VALUE!"/>
  </r>
  <r>
    <x v="15"/>
    <s v="MLC-45227733224 (1494658)"/>
    <x v="94"/>
    <s v="001010546-4"/>
    <x v="1"/>
    <e v="#VALUE!"/>
  </r>
  <r>
    <x v="15"/>
    <s v="MGZ-LU-1458170465003586 (1505424)"/>
    <x v="95"/>
    <s v="001017763-4"/>
    <x v="0"/>
    <e v="#VALUE!"/>
  </r>
  <r>
    <x v="16"/>
    <s v="MGZ-LU-1462470467276820 (1542886)"/>
    <x v="96"/>
    <s v="001041998-4"/>
    <x v="0"/>
    <e v="#VALUE!"/>
  </r>
  <r>
    <x v="17"/>
    <s v="MLP-45372380414 (1547442)"/>
    <x v="97"/>
    <s v="001044698-4"/>
    <x v="0"/>
    <e v="#VALUE!"/>
  </r>
  <r>
    <x v="18"/>
    <s v="MZN-701-4047183-5734626 (1558925)"/>
    <x v="98"/>
    <s v="001053042-4"/>
    <x v="1"/>
    <e v="#VALUE!"/>
  </r>
  <r>
    <x v="19"/>
    <s v="MGZ-LU-1463570467877660 (1551166)"/>
    <x v="99"/>
    <s v="001047890-4"/>
    <x v="1"/>
    <e v="#VALUE!"/>
  </r>
  <r>
    <x v="19"/>
    <s v="MGZ-LU-1455370463763467 (1492320)"/>
    <x v="100"/>
    <s v="001008673-4"/>
    <x v="1"/>
    <e v="#VALUE!"/>
  </r>
  <r>
    <x v="19"/>
    <s v="VVJ-47754529001 (1513269)"/>
    <x v="101"/>
    <s v="001023246-4"/>
    <x v="1"/>
    <e v="#VALUE!"/>
  </r>
  <r>
    <x v="19"/>
    <s v="MGZ-LU-1466970244407555 (1569400)"/>
    <x v="102"/>
    <s v="001059891-4"/>
    <x v="1"/>
    <e v="#VALUE!"/>
  </r>
  <r>
    <x v="19"/>
    <s v="MGZ-LU-1456870464405535 (1498518)"/>
    <x v="103"/>
    <s v="001012747-4"/>
    <x v="1"/>
    <e v="#VALUE!"/>
  </r>
  <r>
    <x v="19"/>
    <s v="BNR-1552274293648-01 (1511204)"/>
    <x v="104"/>
    <s v="001021561-4"/>
    <x v="1"/>
    <e v="#VALUE!"/>
  </r>
  <r>
    <x v="19"/>
    <s v="BNR-1553424304140-01 (1519152)"/>
    <x v="105"/>
    <s v="001026966-4"/>
    <x v="1"/>
    <e v="#VALUE!"/>
  </r>
  <r>
    <x v="19"/>
    <s v="MGZ-LU-1462670467384967 (1544658)"/>
    <x v="106"/>
    <s v="001042679-4"/>
    <x v="1"/>
    <e v="#VALUE!"/>
  </r>
  <r>
    <x v="19"/>
    <s v="MLP-45326770327 (1526955)"/>
    <x v="107"/>
    <s v="001032231-4"/>
    <x v="1"/>
    <e v="#VALUE!"/>
  </r>
  <r>
    <x v="19"/>
    <s v="1554971543995-01 (1543995)"/>
    <x v="108"/>
    <s v="001041557-4"/>
    <x v="1"/>
    <e v="#VALUE!"/>
  </r>
  <r>
    <x v="19"/>
    <s v="MGZ-LU-1463270467724421 (1548960)"/>
    <x v="109"/>
    <s v="001045691-4"/>
    <x v="1"/>
    <e v="#VALUE!"/>
  </r>
  <r>
    <x v="19"/>
    <s v="MLP-45452261459 (1571050)"/>
    <x v="110"/>
    <s v="001061524-4"/>
    <x v="1"/>
    <e v="#VALUE!"/>
  </r>
  <r>
    <x v="19"/>
    <s v="MLP-45303827520 (1513134)"/>
    <x v="111"/>
    <s v="001023293-4"/>
    <x v="0"/>
    <e v="#VALUE!"/>
  </r>
  <r>
    <x v="19"/>
    <s v="MLP-45280448033 (1507708)"/>
    <x v="112"/>
    <s v="001020096-4"/>
    <x v="1"/>
    <e v="#VALUE!"/>
  </r>
  <r>
    <x v="19"/>
    <s v="1557581561149-01 (1561149)"/>
    <x v="113"/>
    <s v="001055384-4"/>
    <x v="0"/>
    <e v="#VALUE!"/>
  </r>
  <r>
    <x v="19"/>
    <s v="1557561561035-01 (1561035)"/>
    <x v="114"/>
    <s v="001054710-4"/>
    <x v="1"/>
    <e v="#VALUE!"/>
  </r>
  <r>
    <x v="20"/>
    <s v="1554501539442-01 (1539442)"/>
    <x v="115"/>
    <s v="001040178-4"/>
    <x v="0"/>
    <e v="#VALUE!"/>
  </r>
  <r>
    <x v="20"/>
    <s v="1558971570431-01 (1570431)"/>
    <x v="116"/>
    <s v="001060830-4"/>
    <x v="0"/>
    <e v="#VALUE!"/>
  </r>
  <r>
    <x v="20"/>
    <s v="MLC-45085485670 (1454260)"/>
    <x v="117"/>
    <s v="000983301-4"/>
    <x v="0"/>
    <e v="#VALUE!"/>
  </r>
  <r>
    <x v="20"/>
    <s v="WBC-A001246119248 (1558229)"/>
    <x v="118"/>
    <s v="001052521-4"/>
    <x v="1"/>
    <e v="#VALUE!"/>
  </r>
  <r>
    <x v="20"/>
    <s v="1553781530384-01 (1530384)"/>
    <x v="119"/>
    <s v="001031215-4"/>
    <x v="1"/>
    <e v="#VALUE!"/>
  </r>
  <r>
    <x v="20"/>
    <s v="MGZ-LU-1467070244491530 (1570895)"/>
    <x v="120"/>
    <s v="001060877-4"/>
    <x v="1"/>
    <e v="#VALUE!"/>
  </r>
  <r>
    <x v="21"/>
    <s v="1553751529851-01 (1529851)"/>
    <x v="121"/>
    <s v="001031311-4"/>
    <x v="0"/>
    <e v="#VALUE!"/>
  </r>
  <r>
    <x v="21"/>
    <s v="1558331565773-01 (1565773)"/>
    <x v="122"/>
    <s v="001056745-4"/>
    <x v="1"/>
    <e v="#VALUE!"/>
  </r>
  <r>
    <x v="21"/>
    <s v="MGZ-LU-1465370243709002 (1560405)"/>
    <x v="123"/>
    <s v="001054093-4"/>
    <x v="0"/>
    <e v="#VALUE!"/>
  </r>
  <r>
    <x v="21"/>
    <s v="MGZ-LU-1466170244030494 (1564756)"/>
    <x v="124"/>
    <s v="001057496-4"/>
    <x v="1"/>
    <e v="#VALUE!"/>
  </r>
  <r>
    <x v="21"/>
    <s v="MGZ-LU-1465470243761736 (1561112)"/>
    <x v="125"/>
    <s v="001054438-4"/>
    <x v="1"/>
    <e v="#VALUE!"/>
  </r>
  <r>
    <x v="21"/>
    <s v="MGZ-LU-1463570467853281 (1550801)"/>
    <x v="126"/>
    <s v="001047506-4"/>
    <x v="0"/>
    <e v="#VALUE!"/>
  </r>
  <r>
    <x v="22"/>
    <s v="MLP-45207480558 (1490540)"/>
    <x v="127"/>
    <s v="001007192-4"/>
    <x v="0"/>
    <e v="#VALUE!"/>
  </r>
  <r>
    <x v="23"/>
    <s v="VVJ-48034740001 (1567851)"/>
    <x v="128"/>
    <s v="001058688-4"/>
    <x v="1"/>
    <e v="#VALUE!"/>
  </r>
  <r>
    <x v="23"/>
    <s v="MLP-45465746558 (1575993)"/>
    <x v="129"/>
    <s v="001064730-4"/>
    <x v="0"/>
    <e v="#VALUE!"/>
  </r>
  <r>
    <x v="23"/>
    <s v="MGZ-LU-1468170245093376 (1578491)"/>
    <x v="130"/>
    <s v="001065957-4"/>
    <x v="1"/>
    <e v="#VALUE!"/>
  </r>
  <r>
    <x v="23"/>
    <s v="MGZ-LU-1460470466327677 (1516612)"/>
    <x v="131"/>
    <s v="001025337-4"/>
    <x v="1"/>
    <e v="#VALUE!"/>
  </r>
  <r>
    <x v="24"/>
    <s v="MLP-45471177725 (1578023)"/>
    <x v="132"/>
    <s v="001066202-4"/>
    <x v="0"/>
    <e v="#VALUE!"/>
  </r>
  <r>
    <x v="24"/>
    <s v="MGZ-LU-1467370244697033 (1573646)"/>
    <x v="133"/>
    <s v="001062987-4"/>
    <x v="0"/>
    <e v="#VALUE!"/>
  </r>
  <r>
    <x v="24"/>
    <s v="MGZ-LU-1463470467775384 (1549703)"/>
    <x v="134"/>
    <s v="001046511-4"/>
    <x v="1"/>
    <e v="#VALUE!"/>
  </r>
  <r>
    <x v="24"/>
    <s v="BNR-1556794333922-01 (1555887)"/>
    <x v="135"/>
    <s v="001051353-4"/>
    <x v="0"/>
    <e v="#VALUE!"/>
  </r>
  <r>
    <x v="24"/>
    <s v="MGZ-LU-1467270244632728 (1572984)"/>
    <x v="136"/>
    <s v="001063877-4"/>
    <x v="0"/>
    <e v="#VALUE!"/>
  </r>
  <r>
    <x v="24"/>
    <s v="MGZ-LU-1468670245442778 (1582955)"/>
    <x v="137"/>
    <s v="001069777-4"/>
    <x v="0"/>
    <e v="#VALUE!"/>
  </r>
  <r>
    <x v="25"/>
    <s v="WBC-A001243845380 (1535645)"/>
    <x v="138"/>
    <s v="001036798-4"/>
    <x v="1"/>
    <e v="#VALUE!"/>
  </r>
  <r>
    <x v="26"/>
    <s v="MLP-45471177725 (1578023)"/>
    <x v="139"/>
    <s v="001066202-4"/>
    <x v="0"/>
    <e v="#VALUE!"/>
  </r>
  <r>
    <x v="27"/>
    <s v="MGZ-LU-1468570245357674 (1581837)"/>
    <x v="140"/>
    <s v="001068624-4"/>
    <x v="1"/>
    <e v="#VALUE!"/>
  </r>
  <r>
    <x v="27"/>
    <s v="MGZ-LU-1468370245203273 (1580405)"/>
    <x v="141"/>
    <s v="001067811-4"/>
    <x v="0"/>
    <e v="#VALUE!"/>
  </r>
  <r>
    <x v="27"/>
    <s v="MGZ-LU-1468370245247332 (1580481)"/>
    <x v="142"/>
    <s v="001069823-4"/>
    <x v="0"/>
    <e v="#VALUE!"/>
  </r>
  <r>
    <x v="28"/>
    <s v="MGZ-LU-1468970245576195 (1585014)"/>
    <x v="143"/>
    <s v="001071791-4"/>
    <x v="0"/>
    <e v="#VALUE!"/>
  </r>
  <r>
    <x v="28"/>
    <s v="VVJ-48183241402 (1592221)"/>
    <x v="144"/>
    <s v="001076322-4"/>
    <x v="1"/>
    <e v="#VALUE!"/>
  </r>
  <r>
    <x v="28"/>
    <s v="VVJ-47938413201 (1553209)"/>
    <x v="145"/>
    <s v="001049468-4"/>
    <x v="0"/>
    <e v="#VALUE!"/>
  </r>
  <r>
    <x v="28"/>
    <s v="1553751529851-01 (1529851)"/>
    <x v="146"/>
    <s v="001031311-4"/>
    <x v="0"/>
    <e v="#VALUE!"/>
  </r>
  <r>
    <x v="28"/>
    <s v="MGZ-LU-1468170245133854 (1579118)"/>
    <x v="147"/>
    <s v="001067517-4"/>
    <x v="0"/>
    <e v="#VALUE!"/>
  </r>
  <r>
    <x v="29"/>
    <s v="MGZ-LU-1470170246123886 (1592274)"/>
    <x v="148"/>
    <s v="001075897-4"/>
    <x v="0"/>
    <e v="#VALUE!"/>
  </r>
  <r>
    <x v="30"/>
    <s v="NXT-1554720940460-01 (1541449)"/>
    <x v="149"/>
    <s v="001039106-4"/>
    <x v="0"/>
    <e v="#VALUE!"/>
  </r>
  <r>
    <x v="31"/>
    <s v="MZN-701-8335758-8276266 (1582686"/>
    <x v="150"/>
    <s v="001069608-4"/>
    <x v="0"/>
    <e v="#VALUE!"/>
  </r>
  <r>
    <x v="32"/>
    <s v="MGZ-LU-1475570273123895 (1618706)"/>
    <x v="151"/>
    <s v="001095705-4"/>
    <x v="0"/>
    <e v="#VALUE!"/>
  </r>
  <r>
    <x v="33"/>
    <s v="MGZ-LU-1477170274013636 (1627790)"/>
    <x v="152"/>
    <s v="001102172-4"/>
    <x v="0"/>
    <e v="#VALUE!"/>
  </r>
  <r>
    <x v="33"/>
    <s v="VVJ-48400130601 (1619471)"/>
    <x v="153"/>
    <s v="001096117-4"/>
    <x v="0"/>
    <e v="#VALUE!"/>
  </r>
  <r>
    <x v="34"/>
    <s v="VVJ-48433754201 (1624054)"/>
    <x v="154"/>
    <s v="001100012-4"/>
    <x v="0"/>
    <e v="#VALUE!"/>
  </r>
  <r>
    <x v="35"/>
    <s v="MGZ-LU-1477170274015350 (1627818)"/>
    <x v="155"/>
    <s v="001102209-4"/>
    <x v="0"/>
    <e v="#VALUE!"/>
  </r>
  <r>
    <x v="35"/>
    <s v="MZN-701-9811082-4036217 (1623932)"/>
    <x v="156"/>
    <s v="001099448-4"/>
    <x v="1"/>
    <e v="#VALUE!"/>
  </r>
  <r>
    <x v="35"/>
    <s v="MZN-701-4780132-0100208 (1623934)"/>
    <x v="157"/>
    <s v="001100434-4"/>
    <x v="1"/>
    <e v="#VALUE!"/>
  </r>
  <r>
    <x v="35"/>
    <s v="WBC-A001252383988 (1608384)"/>
    <x v="158"/>
    <s v="001087586-4"/>
    <x v="0"/>
    <e v="#VALUE!"/>
  </r>
  <r>
    <x v="36"/>
    <s v="BNR-1567664423666-01 (1626881)"/>
    <x v="159"/>
    <s v="001101663-4"/>
    <x v="1"/>
    <e v="#VALUE!"/>
  </r>
  <r>
    <x v="37"/>
    <s v="MGZ-LU-1477770274262273 (1631355)"/>
    <x v="160"/>
    <s v="001104654-4"/>
    <x v="1"/>
    <e v="#VALUE!"/>
  </r>
  <r>
    <x v="37"/>
    <s v="MLP-45561972798 (1604234)"/>
    <x v="161"/>
    <s v="001084763-4"/>
    <x v="1"/>
    <e v="#VALUE!"/>
  </r>
  <r>
    <x v="38"/>
    <s v="WBC-A001252635926 (1610182)"/>
    <x v="162"/>
    <s v="001088674-4"/>
    <x v="0"/>
    <e v="#VALUE!"/>
  </r>
  <r>
    <x v="38"/>
    <s v="MGZ-LU-1477770274289340 (1631668)"/>
    <x v="163"/>
    <s v="001105257-4"/>
    <x v="1"/>
    <e v="#VALUE!"/>
  </r>
  <r>
    <x v="38"/>
    <s v="MGZ-LU-1477670274224313"/>
    <x v="164"/>
    <s v="001104942-4"/>
    <x v="0"/>
    <e v="#VALUE!"/>
  </r>
  <r>
    <x v="38"/>
    <s v="MGZ-LU-1471470271440824 (1599940)"/>
    <x v="165"/>
    <s v="001082045-4"/>
    <x v="1"/>
    <e v="#VALUE!"/>
  </r>
  <r>
    <x v="39"/>
    <s v="VVJ-48592661001 (1642249)"/>
    <x v="166"/>
    <s v="001112693-4"/>
    <x v="1"/>
    <e v="#VALUE!"/>
  </r>
  <r>
    <x v="39"/>
    <s v="VVJ-48579356501 (1640299)"/>
    <x v="167"/>
    <s v="001111312-4"/>
    <x v="1"/>
    <e v="#VALUE!"/>
  </r>
  <r>
    <x v="39"/>
    <s v="MGZ-LU-1478070274441381 (1634533)"/>
    <x v="168"/>
    <s v="001107245-4"/>
    <x v="0"/>
    <e v="#VALUE!"/>
  </r>
  <r>
    <x v="39"/>
    <s v="MGZ-LU-1477470274161712 (1630201)"/>
    <x v="169"/>
    <s v="001103823-4"/>
    <x v="1"/>
    <e v="#VALUE!"/>
  </r>
  <r>
    <x v="39"/>
    <s v="MLP-45655638159 (1626743)"/>
    <x v="170"/>
    <s v="001101747-4"/>
    <x v="0"/>
    <e v="#VALUE!"/>
  </r>
  <r>
    <x v="40"/>
    <s v="MGZ-1480170512986942 (1641874)"/>
    <x v="171"/>
    <s v="001112067-4"/>
    <x v="1"/>
    <e v="#VALUE!"/>
  </r>
  <r>
    <x v="41"/>
    <s v="MLC-45653496860 (1626171)"/>
    <x v="172"/>
    <s v="001101008-4"/>
    <x v="1"/>
    <e v="#VALUE!"/>
  </r>
  <r>
    <x v="42"/>
    <s v="MGZ-LU-1477170274034619 (1628201)"/>
    <x v="173"/>
    <s v="001103346-4"/>
    <x v="1"/>
    <e v="#VALUE!"/>
  </r>
  <r>
    <x v="43"/>
    <s v="MGZ-1479170274915785 (1637922)"/>
    <x v="174"/>
    <s v="001109669-4"/>
    <x v="1"/>
    <e v="#VALUE!"/>
  </r>
  <r>
    <x v="43"/>
    <s v="TSP-1567170613139-01 (1622880)"/>
    <x v="175"/>
    <s v="001098277-4"/>
    <x v="1"/>
    <e v="#VALUE!"/>
  </r>
  <r>
    <x v="43"/>
    <s v="MLP-45732658783 (1643566)"/>
    <x v="176"/>
    <s v="001113680-4"/>
    <x v="1"/>
    <e v="#VALUE!"/>
  </r>
  <r>
    <x v="43"/>
    <s v="MZN-701-3956275-2057831 (1641730)"/>
    <x v="177"/>
    <s v="001112105-4"/>
    <x v="1"/>
    <e v="#VALUE!"/>
  </r>
  <r>
    <x v="43"/>
    <s v="1572201649848-01 (1649848)"/>
    <x v="178"/>
    <s v="001117893-4"/>
    <x v="1"/>
    <e v="#VALUE!"/>
  </r>
  <r>
    <x v="43"/>
    <s v="MGZ-1480370513036136 (1642403)"/>
    <x v="179"/>
    <s v="001112824-4"/>
    <x v="1"/>
    <e v="#VALUE!"/>
  </r>
  <r>
    <x v="44"/>
    <s v="CRF-5627365280001-A (1586872)"/>
    <x v="180"/>
    <s v="001073385-4"/>
    <x v="1"/>
    <e v="#VALUE!"/>
  </r>
  <r>
    <x v="44"/>
    <s v="MGZ-1480170512965404 (1641488)"/>
    <x v="181"/>
    <s v="001111945-4"/>
    <x v="1"/>
    <e v="#VALUE!"/>
  </r>
  <r>
    <x v="45"/>
    <s v="MLP-45762130974 (1649629)"/>
    <x v="182"/>
    <s v="001118588-4"/>
    <x v="1"/>
    <e v="#VALUE!"/>
  </r>
  <r>
    <x v="46"/>
    <s v="MLP-45748465993 (1646908)"/>
    <x v="183"/>
    <s v="001116677-4"/>
    <x v="1"/>
    <e v="#VALUE!"/>
  </r>
  <r>
    <x v="46"/>
    <s v="1571051644720-01 (1644720)"/>
    <x v="184"/>
    <s v="001114242-4"/>
    <x v="1"/>
    <e v="#VALUE!"/>
  </r>
  <r>
    <x v="46"/>
    <s v="WBC-A001259936743 (1650916)"/>
    <x v="185"/>
    <s v="001118885-4"/>
    <x v="1"/>
    <e v="#VALUE!"/>
  </r>
  <r>
    <x v="46"/>
    <s v="MGZ-1481470513400248 (1646916)"/>
    <x v="186"/>
    <s v="001116136-4"/>
    <x v="1"/>
    <e v="#VALUE!"/>
  </r>
  <r>
    <x v="46"/>
    <s v="MGZ-1479470275015135 (1638902)"/>
    <x v="187"/>
    <s v="001110365-4"/>
    <x v="1"/>
    <e v="#VALUE!"/>
  </r>
  <r>
    <x v="46"/>
    <s v="BNR-1568794432582-01 (1633643)"/>
    <x v="188"/>
    <s v="001107025-4"/>
    <x v="1"/>
    <e v="#VALUE!"/>
  </r>
  <r>
    <x v="47"/>
    <s v="MLP-45749973431 (1647306)"/>
    <x v="189"/>
    <s v="001116654-4"/>
    <x v="1"/>
    <e v="#VALUE!"/>
  </r>
  <r>
    <x v="47"/>
    <s v="MZN-702-0596897-9518650 (1641589)"/>
    <x v="190"/>
    <s v="001111925-4"/>
    <x v="0"/>
    <e v="#VALUE!"/>
  </r>
  <r>
    <x v="47"/>
    <s v="WBC-A001257752897 (1638932)"/>
    <x v="191"/>
    <s v="001110766-4"/>
    <x v="1"/>
    <e v="#VALUE!"/>
  </r>
  <r>
    <x v="47"/>
    <s v="MLC-45647297259 (1624186)"/>
    <x v="192"/>
    <s v="001100580-4"/>
    <x v="1"/>
    <e v="#VALUE!"/>
  </r>
  <r>
    <x v="48"/>
    <s v="VVJ-48782355701 (1671036)"/>
    <x v="193"/>
    <s v="001132304-4"/>
    <x v="0"/>
    <e v="#VALUE!"/>
  </r>
  <r>
    <x v="49"/>
    <s v="TSP-1574020835335-01 (1659538)"/>
    <x v="194"/>
    <s v="001124994-4"/>
    <x v="1"/>
    <e v="#VALUE!"/>
  </r>
  <r>
    <x v="50"/>
    <s v="MGZ-1481170513330792 (1646070)"/>
    <x v="195"/>
    <s v="001118662-4"/>
    <x v="0"/>
    <e v="#VALUE!"/>
  </r>
  <r>
    <x v="51"/>
    <s v="VVJ-48857557501 (1691397)"/>
    <x v="196"/>
    <s v="001141425-4"/>
    <x v="0"/>
    <e v="#VALUE!"/>
  </r>
  <r>
    <x v="51"/>
    <s v="MLP-45829172644 (1669971)"/>
    <x v="197"/>
    <s v="001130496-4"/>
    <x v="1"/>
    <e v="#VALUE!"/>
  </r>
  <r>
    <x v="51"/>
    <s v="VVJ-48762090101 (1661850)"/>
    <x v="198"/>
    <s v="001126594-4"/>
    <x v="0"/>
    <e v="#VALUE!"/>
  </r>
  <r>
    <x v="51"/>
    <s v="WBC-W0011574321168966 (1662616)"/>
    <x v="199"/>
    <s v="001128196-4"/>
    <x v="0"/>
    <e v="#VALUE!"/>
  </r>
  <r>
    <x v="51"/>
    <s v="MGZ-1485970779536869 (1687558)"/>
    <x v="200"/>
    <s v="001138274-4"/>
    <x v="1"/>
    <e v="#VALUE!"/>
  </r>
  <r>
    <x v="51"/>
    <s v="MGZ-1485870779506018 (1686367)"/>
    <x v="201"/>
    <s v="001139022-4"/>
    <x v="1"/>
    <e v="#VALUE!"/>
  </r>
  <r>
    <x v="52"/>
    <s v="VVJ-48823611301 (1678831)"/>
    <x v="202"/>
    <s v="001133770-4"/>
    <x v="1"/>
    <e v="#VALUE!"/>
  </r>
  <r>
    <x v="48"/>
    <s v="MGZ-1482570513817977 (1652138)"/>
    <x v="203"/>
    <s v="001119868-4"/>
    <x v="0"/>
    <e v="#VALUE!"/>
  </r>
  <r>
    <x v="52"/>
    <s v="MLP-45838582890 (1677810)"/>
    <x v="204"/>
    <s v="001132670-4"/>
    <x v="1"/>
    <e v="#VALUE!"/>
  </r>
  <r>
    <x v="52"/>
    <s v="MGZ-1486470779888794 (1695024)"/>
    <x v="205"/>
    <s v="001144282-4"/>
    <x v="1"/>
    <e v="#VALUE!"/>
  </r>
  <r>
    <x v="52"/>
    <s v="MGZ-1485070778951987 (1670134)"/>
    <x v="206"/>
    <s v="001130553-4"/>
    <x v="1"/>
    <e v="#VALUE!"/>
  </r>
  <r>
    <x v="52"/>
    <s v="MGZ-1487570780459384 (1705038)"/>
    <x v="207"/>
    <s v="001151740-4"/>
    <x v="1"/>
    <e v="#VALUE!"/>
  </r>
  <r>
    <x v="52"/>
    <s v="1575511683549-01 (1683549)"/>
    <x v="208"/>
    <s v="001137177-4"/>
    <x v="1"/>
    <e v="#VALUE!"/>
  </r>
  <r>
    <x v="53"/>
    <s v="MGZ-1486970780172452 (1699977)"/>
    <x v="209"/>
    <s v="001149160-4"/>
    <x v="1"/>
    <e v="#VALUE!"/>
  </r>
  <r>
    <x v="53"/>
    <s v="MGZ-1487570780456489 (1704980)"/>
    <x v="210"/>
    <s v="001151476-4"/>
    <x v="1"/>
    <e v="#VALUE!"/>
  </r>
  <r>
    <x v="53"/>
    <s v="MGZ-1486870780113740 (1698960)"/>
    <x v="211"/>
    <s v="001146950-4"/>
    <x v="1"/>
    <e v="#VALUE!"/>
  </r>
  <r>
    <x v="53"/>
    <s v="MGZ-1487070780233140 (1701083)"/>
    <x v="212"/>
    <s v="001149117-4"/>
    <x v="1"/>
    <e v="#VALUE!"/>
  </r>
  <r>
    <x v="53"/>
    <s v="BNR-1572164457900-01 (1649517)"/>
    <x v="213"/>
    <s v="001117926-4"/>
    <x v="1"/>
    <e v="#VALUE!"/>
  </r>
  <r>
    <x v="53"/>
    <s v="MLP-45823970717 (1665248)"/>
    <x v="214"/>
    <s v="001129290-4."/>
    <x v="1"/>
    <e v="#VALUE!"/>
  </r>
  <r>
    <x v="53"/>
    <s v="MLP-45855311884 (1690274)"/>
    <x v="215"/>
    <s v="001140547-4"/>
    <x v="1"/>
    <e v="#VALUE!"/>
  </r>
  <r>
    <x v="54"/>
    <s v="MGZ-1488070780753921 (1710298)"/>
    <x v="216"/>
    <s v="001156145-4"/>
    <x v="0"/>
    <e v="#VALUE!"/>
  </r>
  <r>
    <x v="54"/>
    <s v="BNR-1573754470451-01 (1657424)"/>
    <x v="217"/>
    <s v="001123560-4"/>
    <x v="0"/>
    <e v="#VALUE!"/>
  </r>
  <r>
    <x v="54"/>
    <s v="VVJ-48958439501 (1706807)"/>
    <x v="218"/>
    <s v="001152909-4"/>
    <x v="0"/>
    <e v="#VALUE!"/>
  </r>
  <r>
    <x v="55"/>
    <s v="MZN-701-2540339-4037850 (1662629)"/>
    <x v="219"/>
    <s v="001127054-4"/>
    <x v="1"/>
    <e v="#VALUE!"/>
  </r>
  <r>
    <x v="55"/>
    <s v="BNR-1556564332571-01 (1554582)"/>
    <x v="220"/>
    <s v="001049940-4"/>
    <x v="1"/>
    <e v="#VALUE!"/>
  </r>
  <r>
    <x v="56"/>
    <s v="MGZ-1486970780177358 (1700040)"/>
    <x v="221"/>
    <s v="001147081-4"/>
    <x v="0"/>
    <e v="#VALUE!"/>
  </r>
  <r>
    <x v="56"/>
    <s v="MLP-45602474192 (1614584)"/>
    <x v="222"/>
    <s v="001092543-4"/>
    <x v="0"/>
    <e v="#VALUE!"/>
  </r>
  <r>
    <x v="56"/>
    <s v="WBC-A001267873036 (1717322)"/>
    <x v="223"/>
    <s v="001161788-4"/>
    <x v="1"/>
    <e v="#VALUE!"/>
  </r>
  <r>
    <x v="56"/>
    <s v="MGZ-1486470779867229 (1694484)"/>
    <x v="224"/>
    <s v="001143553-4"/>
    <x v="0"/>
    <e v="#VALUE!"/>
  </r>
  <r>
    <x v="57"/>
    <s v="MGZ-1488670781111870 (1716310)"/>
    <x v="225"/>
    <s v="001160546-4"/>
    <x v="1"/>
    <e v="#VALUE!"/>
  </r>
  <r>
    <x v="57"/>
    <s v="MGZ-1489470781526562 (1722226)"/>
    <x v="226"/>
    <s v="001165414-4"/>
    <x v="0"/>
    <e v="#VALUE!"/>
  </r>
  <r>
    <x v="57"/>
    <s v="MGZ-1487570780452334 (1705072)"/>
    <x v="227"/>
    <s v="001151638-4"/>
    <x v="0"/>
    <e v="#VALUE!"/>
  </r>
  <r>
    <x v="57"/>
    <s v="BNR-1577154508716-01 (1707000)"/>
    <x v="228"/>
    <s v="001154111-4"/>
    <x v="1"/>
    <e v="#VALUE!"/>
  </r>
  <r>
    <x v="57"/>
    <s v="MGZ-1488170780866804 (1716014)"/>
    <x v="229"/>
    <s v="001160724-4"/>
    <x v="0"/>
    <e v="#VALUE!"/>
  </r>
  <r>
    <x v="57"/>
    <s v="VVJ-48907726601 (1696674)"/>
    <x v="230"/>
    <s v="001145285-4"/>
    <x v="0"/>
    <e v="#VALUE!"/>
  </r>
  <r>
    <x v="58"/>
    <s v="1578841724064-01 (1724064)"/>
    <x v="231"/>
    <s v="001166831-4"/>
    <x v="0"/>
    <e v="#VALUE!"/>
  </r>
  <r>
    <x v="58"/>
    <s v="CRF-5653248400001-A (1710074)"/>
    <x v="232"/>
    <s v="001155571-4"/>
    <x v="1"/>
    <e v="#VALUE!"/>
  </r>
  <r>
    <x v="58"/>
    <s v="MGZ-1489770781720578 (1726485)"/>
    <x v="233"/>
    <s v="001168232-4"/>
    <x v="0"/>
    <e v="#VALUE!"/>
  </r>
  <r>
    <x v="58"/>
    <s v="MZN-702-0506997-1030667 (1696028)"/>
    <x v="234"/>
    <s v="001144722-4"/>
    <x v="0"/>
    <e v="#VALUE!"/>
  </r>
  <r>
    <x v="59"/>
    <s v="MGZ-1487770780616834 (1707942)"/>
    <x v="235"/>
    <s v="001153813-4"/>
    <x v="0"/>
    <e v="#VALUE!"/>
  </r>
  <r>
    <x v="59"/>
    <s v="MGZ-1490070781893521 (1729250)"/>
    <x v="236"/>
    <s v="001170936-4"/>
    <x v="0"/>
    <e v="#VALUE!"/>
  </r>
  <r>
    <x v="59"/>
    <s v="MGZ-1489170781362965 (1719872)"/>
    <x v="237"/>
    <s v="001163749-4"/>
    <x v="1"/>
    <e v="#VALUE!"/>
  </r>
  <r>
    <x v="59"/>
    <s v="MGZ-1484570778693039 (1663985)"/>
    <x v="238"/>
    <s v="001128154-4"/>
    <x v="1"/>
    <e v="#VALUE!"/>
  </r>
  <r>
    <x v="60"/>
    <s v="MGZ-1487870780664799 (1708912)"/>
    <x v="239"/>
    <s v="001153888-4"/>
    <x v="1"/>
    <e v="#VALUE!"/>
  </r>
  <r>
    <x v="60"/>
    <s v="VVJ-49114737001 (1729694)"/>
    <x v="240"/>
    <s v="001170416-4"/>
    <x v="0"/>
    <e v="#VALUE!"/>
  </r>
  <r>
    <x v="61"/>
    <s v="MGZ-1485670779307026 (1685937)"/>
    <x v="241"/>
    <s v="001136735-4"/>
    <x v="1"/>
    <e v="#VALUE!"/>
  </r>
  <r>
    <x v="61"/>
    <s v="VVJ-49113933601 (1729502)"/>
    <x v="242"/>
    <s v="001170391-4"/>
    <x v="1"/>
    <e v="#VALUE!"/>
  </r>
  <r>
    <x v="61"/>
    <s v="MGZ-1490170781978899 (1730757)"/>
    <x v="243"/>
    <s v="001173733-4"/>
    <x v="1"/>
    <e v="#VALUE!"/>
  </r>
  <r>
    <x v="62"/>
    <s v="MGZ-1490570782773967 (1745631)"/>
    <x v="244"/>
    <s v="001180297-4"/>
    <x v="0"/>
    <e v="#VALUE!"/>
  </r>
  <r>
    <x v="62"/>
    <s v="MGZ-1489970781856662 (1728576)"/>
    <x v="245"/>
    <s v="001172828-4"/>
    <x v="0"/>
    <e v="#VALUE!"/>
  </r>
  <r>
    <x v="62"/>
    <s v="MGZ-1484770778789900 (1665813)"/>
    <x v="246"/>
    <s v="001129311-4"/>
    <x v="0"/>
    <e v="#VALUE!"/>
  </r>
  <r>
    <x v="63"/>
    <s v="MGZ-1488370780929046 (1713215)"/>
    <x v="247"/>
    <s v="001159242-4"/>
    <x v="1"/>
    <e v="#VALUE!"/>
  </r>
  <r>
    <x v="63"/>
    <s v="BNR-1577684516058-01 (1713091)"/>
    <x v="248"/>
    <s v="001158077-4"/>
    <x v="1"/>
    <e v="#VALUE!"/>
  </r>
  <r>
    <x v="63"/>
    <s v="BNR-1575454486845-01 (1681931)"/>
    <x v="249"/>
    <s v="001135085-4"/>
    <x v="0"/>
    <e v="#VALUE!"/>
  </r>
  <r>
    <x v="63"/>
    <s v="MGZ-1491670664803269 (1765121)"/>
    <x v="250"/>
    <s v="001191468-4"/>
    <x v="1"/>
    <e v="#VALUE!"/>
  </r>
  <r>
    <x v="63"/>
    <s v="MGZ-1487770780638368 (1708883)"/>
    <x v="251"/>
    <s v="001154742-4"/>
    <x v="0"/>
    <e v="#VALUE!"/>
  </r>
  <r>
    <x v="63"/>
    <s v="1579201729818-01 (1729818)"/>
    <x v="252"/>
    <s v="001171587-4"/>
    <x v="1"/>
    <e v="#VALUE!"/>
  </r>
  <r>
    <x v="63"/>
    <s v="MGZ-1488570781035119 (1715043)"/>
    <x v="253"/>
    <s v="001159705-4"/>
    <x v="0"/>
    <e v="#VALUE!"/>
  </r>
  <r>
    <x v="63"/>
    <s v="MGZ-1490970783169515 (1755375)"/>
    <x v="254"/>
    <s v="001181948-4"/>
    <x v="0"/>
    <e v="#VALUE!"/>
  </r>
  <r>
    <x v="63"/>
    <s v="MGZ-1488570781025943 (1714899)"/>
    <x v="255"/>
    <s v="001159572-4"/>
    <x v="0"/>
    <e v="#VALUE!"/>
  </r>
  <r>
    <x v="63"/>
    <s v="VVJ-48956700501 (1705994)"/>
    <x v="256"/>
    <s v="001152672-4"/>
    <x v="0"/>
    <e v="#VALUE!"/>
  </r>
  <r>
    <x v="63"/>
    <s v="BNR-1575534488677-01 (1684645)"/>
    <x v="257"/>
    <s v="001137366-4"/>
    <x v="0"/>
    <e v="#VALUE!"/>
  </r>
  <r>
    <x v="63"/>
    <s v="MZN-701-3142083-5745859 (1728035)"/>
    <x v="258"/>
    <s v="001170757-4"/>
    <x v="1"/>
    <e v="#VALUE!"/>
  </r>
  <r>
    <x v="63"/>
    <s v="MZN-701-0629210-2375438 (1718178)"/>
    <x v="259"/>
    <s v="001164266-4"/>
    <x v="1"/>
    <e v="#VALUE!"/>
  </r>
  <r>
    <x v="63"/>
    <s v="MGZ-LU-1474670272745739 (1615101)"/>
    <x v="260"/>
    <s v="001093025-4"/>
    <x v="0"/>
    <e v="#VALUE!"/>
  </r>
  <r>
    <x v="63"/>
    <s v="MLP-45824317100 (1665282)"/>
    <x v="261"/>
    <s v="001129080-4"/>
    <x v="1"/>
    <e v="#VALUE!"/>
  </r>
  <r>
    <x v="63"/>
    <s v="MLC-45621261093 (1618286)"/>
    <x v="262"/>
    <s v="001095585-4"/>
    <x v="0"/>
    <e v="#VALUE!"/>
  </r>
  <r>
    <x v="63"/>
    <s v="MGZ-1490570782716426 (1744628)"/>
    <x v="263"/>
    <s v="001181866-4"/>
    <x v="1"/>
    <e v="#VALUE!"/>
  </r>
  <r>
    <x v="64"/>
    <s v="MGZ-1490470782271375 (1735874)"/>
    <x v="264"/>
    <s v="001175352-4"/>
    <x v="0"/>
    <e v="#VALUE!"/>
  </r>
  <r>
    <x v="64"/>
    <s v="MGZ-1491370783527762 (1762775)"/>
    <x v="265"/>
    <s v="001190488-4"/>
    <x v="0"/>
    <e v="#VALUE!"/>
  </r>
  <r>
    <x v="64"/>
    <s v="MGZ-1489170781378127 (1720066)"/>
    <x v="266"/>
    <s v="001164114-4"/>
    <x v="0"/>
    <e v="#VALUE!"/>
  </r>
  <r>
    <x v="64"/>
    <s v="MGZ-1485970779598091 (1689565)"/>
    <x v="267"/>
    <s v="001142303-4"/>
    <x v="0"/>
    <e v="#VALUE!"/>
  </r>
  <r>
    <x v="65"/>
    <s v="MGZ-1489570781591950 (1723577)"/>
    <x v="268"/>
    <s v="001166240-4"/>
    <x v="1"/>
    <e v="#VALUE!"/>
  </r>
  <r>
    <x v="65"/>
    <s v="MLC-45968504045 (1743398)"/>
    <x v="269"/>
    <s v="001182276-4"/>
    <x v="0"/>
    <e v="#VALUE!"/>
  </r>
  <r>
    <x v="66"/>
    <s v="MGZ-1492270665107363 (1767483)"/>
    <x v="270"/>
    <s v="001196300-4"/>
    <x v="0"/>
    <e v="#VALUE!"/>
  </r>
  <r>
    <x v="66"/>
    <s v="BNR-1577154508716-01 (1707000)"/>
    <x v="271"/>
    <s v="001154111-4"/>
    <x v="1"/>
    <e v="#VALUE!"/>
  </r>
  <r>
    <x v="66"/>
    <s v="MGZ-1491670664745268 (1764412)"/>
    <x v="272"/>
    <s v="001193136-4"/>
    <x v="1"/>
    <e v="#VALUE!"/>
  </r>
  <r>
    <x v="66"/>
    <s v="VVJ-49140604802 (1737441)"/>
    <x v="273"/>
    <s v="001176655-4"/>
    <x v="1"/>
    <e v="#VALUE!"/>
  </r>
  <r>
    <x v="66"/>
    <s v="MGZ-1491870664863184 (1765643)"/>
    <x v="274"/>
    <s v="001195485-4"/>
    <x v="0"/>
    <e v="#VALUE!"/>
  </r>
  <r>
    <x v="67"/>
    <s v="MGZ-1492370665150220 (1767804)"/>
    <x v="275"/>
    <s v="001196391-4"/>
    <x v="0"/>
    <e v="#VALUE!"/>
  </r>
  <r>
    <x v="67"/>
    <s v="MGZ-1492270665109780 (1767514)"/>
    <x v="276"/>
    <s v="001195874-4"/>
    <x v="0"/>
    <e v="#VALUE!"/>
  </r>
  <r>
    <x v="67"/>
    <s v="MZN-702-0773155-9778621 (1721337)"/>
    <x v="277"/>
    <s v="001165054-4"/>
    <x v="0"/>
    <e v="#VALUE!"/>
  </r>
  <r>
    <x v="67"/>
    <s v="MLP-45878407656 (1700117)"/>
    <x v="278"/>
    <s v="001147312-4"/>
    <x v="0"/>
    <e v="#VALUE!"/>
  </r>
  <r>
    <x v="68"/>
    <s v="MGZ-1490070781950047 (1730240)"/>
    <x v="279"/>
    <s v="001172161-4"/>
    <x v="0"/>
    <e v="#VALUE!"/>
  </r>
  <r>
    <x v="68"/>
    <s v="VVJ-48807823401 (1672071)"/>
    <x v="280"/>
    <s v="001132137-4"/>
    <x v="1"/>
    <e v="#VALUE!"/>
  </r>
  <r>
    <x v="68"/>
    <s v="MGZ-1490570782515297 (1740750)"/>
    <x v="281"/>
    <s v="001182899-4"/>
    <x v="0"/>
    <e v="#VALUE!"/>
  </r>
  <r>
    <x v="68"/>
    <s v="VVJ-49203366301 (1749302)"/>
    <x v="282"/>
    <s v="001181879-4"/>
    <x v="1"/>
    <e v="#VALUE!"/>
  </r>
  <r>
    <x v="68"/>
    <s v="MGZ-1491170783303821 (1758589)"/>
    <x v="283"/>
    <s v="001189254-4"/>
    <x v="0"/>
    <e v="#VALUE!"/>
  </r>
  <r>
    <x v="68"/>
    <s v="MLP-45869658776 (1696308)"/>
    <x v="284"/>
    <s v="001145030-4"/>
    <x v="1"/>
    <e v="#VALUE!"/>
  </r>
  <r>
    <x v="68"/>
    <s v="MZN-702-1725712-7425011 (1751431)"/>
    <x v="285"/>
    <s v="001187236-4"/>
    <x v="1"/>
    <e v="#VALUE!"/>
  </r>
  <r>
    <x v="68"/>
    <s v="MDM-9241411 (1724553)"/>
    <x v="286"/>
    <s v="001172041-4"/>
    <x v="1"/>
    <e v="#VALUE!"/>
  </r>
  <r>
    <x v="68"/>
    <s v="MZN-701-7810682-1662666 (1691166)"/>
    <x v="287"/>
    <s v="001140210-4"/>
    <x v="1"/>
    <e v="#VALUE!"/>
  </r>
  <r>
    <x v="68"/>
    <s v="TSP-1579671531804-01 (1744301)"/>
    <x v="288"/>
    <s v="001184106-4"/>
    <x v="1"/>
    <e v="#VALUE!"/>
  </r>
  <r>
    <x v="68"/>
    <s v="MGZ-1490270782057218 (1732082)"/>
    <x v="289"/>
    <s v="001172508-4"/>
    <x v="1"/>
    <e v="#VALUE!"/>
  </r>
  <r>
    <x v="69"/>
    <s v="BNR-1577754517288-01 (1714100)"/>
    <x v="290"/>
    <s v="001158747-4"/>
    <x v="1"/>
    <e v="#VALUE!"/>
  </r>
  <r>
    <x v="69"/>
    <s v="MLP-45968660401 (1743449)"/>
    <x v="291"/>
    <s v="001177939-4"/>
    <x v="1"/>
    <e v="#VALUE!"/>
  </r>
  <r>
    <x v="69"/>
    <s v="MGZ-1487270780328609 (1702855)"/>
    <x v="292"/>
    <s v="001148428-4"/>
    <x v="1"/>
    <e v="#VALUE!"/>
  </r>
  <r>
    <x v="69"/>
    <s v="TSP-1581061670187-01 (1767086)"/>
    <x v="293"/>
    <s v="001195995-4"/>
    <x v="1"/>
    <e v="#VALUE!"/>
  </r>
  <r>
    <x v="69"/>
    <s v="BNR-1579914560186-01 (1753664)"/>
    <x v="294"/>
    <s v="001185767-4"/>
    <x v="1"/>
    <e v="#VALUE!"/>
  </r>
  <r>
    <x v="69"/>
    <s v="BNR-1581124573307-01 (1767505)"/>
    <x v="295"/>
    <s v="001195272-4"/>
    <x v="1"/>
    <e v="#VALUE!"/>
  </r>
  <r>
    <x v="69"/>
    <s v="VVJ-49191267205 (1745383)"/>
    <x v="296"/>
    <s v="001179461-4"/>
    <x v="1"/>
    <e v="#VALUE!"/>
  </r>
  <r>
    <x v="69"/>
    <s v="MGZ-1494070666218341 (1775582)"/>
    <x v="297"/>
    <s v="001202896-4"/>
    <x v="1"/>
    <e v="#VALUE!"/>
  </r>
  <r>
    <x v="69"/>
    <s v="MLP-46012611368 (1766880)"/>
    <x v="298"/>
    <s v="001195674-4"/>
    <x v="1"/>
    <e v="#VALUE!"/>
  </r>
  <r>
    <x v="69"/>
    <s v="MGZ-1491570664675966 (1763640)"/>
    <x v="299"/>
    <s v="001191750-4"/>
    <x v="0"/>
    <e v="#VALUE!"/>
  </r>
  <r>
    <x v="69"/>
    <s v="VVJ-49268421901 (1763446)"/>
    <x v="300"/>
    <s v="001193541-4"/>
    <x v="1"/>
    <e v="#VALUE!"/>
  </r>
  <r>
    <x v="69"/>
    <s v="MGZ-1488070780759259 (1710398)"/>
    <x v="301"/>
    <s v="001157403-4"/>
    <x v="1"/>
    <e v="#VALUE!"/>
  </r>
  <r>
    <x v="69"/>
    <s v="MGZ-1494070666249113 (1775901)"/>
    <x v="302"/>
    <s v="001202772-4"/>
    <x v="1"/>
    <e v="#VALUE!"/>
  </r>
  <r>
    <x v="69"/>
    <s v="MGZ-1494070666188093 (1776762)"/>
    <x v="303"/>
    <s v="001203503-4"/>
    <x v="1"/>
    <e v="#VALUE!"/>
  </r>
  <r>
    <x v="69"/>
    <s v="MZN-701-3126184-0346663 (1781165)"/>
    <x v="304"/>
    <s v="001206638-4"/>
    <x v="1"/>
    <e v="#VALUE!"/>
  </r>
  <r>
    <x v="70"/>
    <s v="BNR-1582724587434-01 (1775652)"/>
    <x v="305"/>
    <s v="001202702-4"/>
    <x v="0"/>
    <e v="#VALUE!"/>
  </r>
  <r>
    <x v="70"/>
    <s v="MZN-702-0470535-7980241 (1755921)"/>
    <x v="306"/>
    <s v="001190392-4"/>
    <x v="1"/>
    <e v="#VALUE!"/>
  </r>
  <r>
    <x v="70"/>
    <s v="MGZ-1495470667067108 (1781912)"/>
    <x v="307"/>
    <s v="001207341-4"/>
    <x v="1"/>
    <e v="#VALUE!"/>
  </r>
  <r>
    <x v="70"/>
    <s v="MLC-46049575326 (1773278)"/>
    <x v="308"/>
    <s v="001200507-4"/>
    <x v="1"/>
    <e v="#VALUE!"/>
  </r>
  <r>
    <x v="70"/>
    <s v="WBC-A001269345126 (1725297)"/>
    <x v="309"/>
    <s v="001168796-4"/>
    <x v="1"/>
    <e v="#VALUE!"/>
  </r>
  <r>
    <x v="70"/>
    <s v="MGZ-1491470783534845 (1762911)"/>
    <x v="310"/>
    <s v="001190056-4"/>
    <x v="1"/>
    <e v="#VALUE!"/>
  </r>
  <r>
    <x v="70"/>
    <s v="MGZ-1488070780821768 (1711594)"/>
    <x v="311"/>
    <s v="001157224-4"/>
    <x v="1"/>
    <e v="#VALUE!"/>
  </r>
  <r>
    <x v="70"/>
    <s v="MZN-702-9391693-7241831 (1779598)"/>
    <x v="312"/>
    <s v="001205271-4"/>
    <x v="1"/>
    <e v="#VALUE!"/>
  </r>
  <r>
    <x v="70"/>
    <s v="MGZ-1490870783047223 (1752203)"/>
    <x v="313"/>
    <s v="001194602-4"/>
    <x v="1"/>
    <e v="#VALUE!"/>
  </r>
  <r>
    <x v="70"/>
    <s v="MGZ-1495370667025691 (1781617)"/>
    <x v="314"/>
    <s v="001206846-4"/>
    <x v="1"/>
    <e v="#VALUE!"/>
  </r>
  <r>
    <x v="70"/>
    <s v="MGZ-1492770665388641 (1769624)"/>
    <x v="315"/>
    <s v="001197456-4"/>
    <x v="1"/>
    <e v="#VALUE!"/>
  </r>
  <r>
    <x v="70"/>
    <s v="WBC-A001275987394 (1771014)"/>
    <x v="316"/>
    <s v="001198068-4"/>
    <x v="1"/>
    <e v="#VALUE!"/>
  </r>
  <r>
    <x v="71"/>
    <s v="MGZ-1488270780902589 (1712828)"/>
    <x v="317"/>
    <s v="001157798-4"/>
    <x v="0"/>
    <e v="#VALUE!"/>
  </r>
  <r>
    <x v="71"/>
    <s v="MGZ-1493070665528151 (1770891)"/>
    <x v="318"/>
    <s v="001198509-4"/>
    <x v="0"/>
    <e v="#VALUE!"/>
  </r>
  <r>
    <x v="71"/>
    <s v="MLP-46013478184 (1767019)"/>
    <x v="319"/>
    <s v="001195871-4"/>
    <x v="1"/>
    <e v="#VALUE!"/>
  </r>
  <r>
    <x v="71"/>
    <s v="MGZ-1488970781275712 (1718690)"/>
    <x v="320"/>
    <s v="001162501-4"/>
    <x v="0"/>
    <e v="#VALUE!"/>
  </r>
  <r>
    <x v="72"/>
    <s v="MGZ-1484370778493220 (1661767)"/>
    <x v="321"/>
    <s v="001125807-4"/>
    <x v="1"/>
    <e v="#VALUE!"/>
  </r>
  <r>
    <x v="72"/>
    <s v="MLC-45984511485 (1759854)"/>
    <x v="322"/>
    <s v="001191169-4"/>
    <x v="1"/>
    <e v="#VALUE!"/>
  </r>
  <r>
    <x v="72"/>
    <s v="BNR-1583244593104-01 (1778839)"/>
    <x v="323"/>
    <s v="001204587-4"/>
    <x v="1"/>
    <e v="#VALUE!"/>
  </r>
  <r>
    <x v="72"/>
    <s v="MLC-46007974538 (1766243)"/>
    <x v="324"/>
    <s v="001194270-4"/>
    <x v="1"/>
    <e v="#VALUE!"/>
  </r>
  <r>
    <x v="72"/>
    <s v="MGZ-1491670664760939 (1764565)"/>
    <x v="325"/>
    <s v="001191343-4"/>
    <x v="0"/>
    <e v="#VALUE!"/>
  </r>
  <r>
    <x v="72"/>
    <s v="MLP-45918536896 (1715739)"/>
    <x v="326"/>
    <s v="001160673-4"/>
    <x v="1"/>
    <e v="#VALUE!"/>
  </r>
  <r>
    <x v="72"/>
    <s v="MZN-702-5438334-0995422 (1755346)"/>
    <x v="327"/>
    <s v="001190391-4"/>
    <x v="1"/>
    <e v="#VALUE!"/>
  </r>
  <r>
    <x v="72"/>
    <s v="VVJ-49396046101 (1774718)"/>
    <x v="328"/>
    <s v="001201639-4"/>
    <x v="1"/>
    <e v="#VALUE!"/>
  </r>
  <r>
    <x v="72"/>
    <s v="MGZ-1490870783117456 (1754033)"/>
    <x v="329"/>
    <s v="001187121-4"/>
    <x v="0"/>
    <e v="#VALUE!"/>
  </r>
  <r>
    <x v="72"/>
    <s v="1581771770290-01 (1770290)"/>
    <x v="330"/>
    <s v="001198103-4"/>
    <x v="1"/>
    <e v="#VALUE!"/>
  </r>
  <r>
    <x v="72"/>
    <s v="MGZ-1490070781888902 (1729174)"/>
    <x v="331"/>
    <s v="001170713-4"/>
    <x v="0"/>
    <e v="#VALUE!"/>
  </r>
  <r>
    <x v="72"/>
    <s v="MGZ-1497170941995660 (1786701)"/>
    <x v="332"/>
    <s v="001211121-4"/>
    <x v="1"/>
    <e v="#VALUE!"/>
  </r>
  <r>
    <x v="72"/>
    <s v="BNR-1582074581311-01 (1772086)"/>
    <x v="333"/>
    <s v="001199260-4"/>
    <x v="1"/>
    <e v="#VALUE!"/>
  </r>
  <r>
    <x v="73"/>
    <s v="MZN-701-3348369-4857049 (1774007)"/>
    <x v="334"/>
    <s v="001201117-4"/>
    <x v="1"/>
    <e v="#VALUE!"/>
  </r>
  <r>
    <x v="73"/>
    <s v="MGZ-1485970779598091 (1689565)"/>
    <x v="335"/>
    <s v="001142303-4"/>
    <x v="0"/>
    <e v="#VALUE!"/>
  </r>
  <r>
    <x v="73"/>
    <s v="BNR-1579704555047-01 (1746756)"/>
    <x v="336"/>
    <s v="001178900-4"/>
    <x v="1"/>
    <e v="#VALUE!"/>
  </r>
  <r>
    <x v="73"/>
    <s v="MGZ-1497370942088609 (1787524)"/>
    <x v="337"/>
    <s v="001211619-4"/>
    <x v="0"/>
    <e v="#VALUE!"/>
  </r>
  <r>
    <x v="73"/>
    <s v="MLP-46084696420 (1779619)"/>
    <x v="338"/>
    <s v="001206434-4"/>
    <x v="1"/>
    <e v="#VALUE!"/>
  </r>
  <r>
    <x v="74"/>
    <s v="MGZ-1490670782810417 (1746347)"/>
    <x v="339"/>
    <s v="001182668-4"/>
    <x v="1"/>
    <e v="#VALUE!"/>
  </r>
  <r>
    <x v="74"/>
    <s v="MGZ-1492170665037161 (1766956)"/>
    <x v="340"/>
    <s v="001194969-4"/>
    <x v="1"/>
    <e v="#VALUE!"/>
  </r>
  <r>
    <x v="74"/>
    <s v="MGZ-1497070941965209 (1786437)"/>
    <x v="341"/>
    <s v="001211111-4"/>
    <x v="1"/>
    <e v="#VALUE!"/>
  </r>
  <r>
    <x v="74"/>
    <s v="MLP-46092998125 (1780871)"/>
    <x v="342"/>
    <s v="001206055-4"/>
    <x v="1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C1AC2-1FDD-4AB3-91C2-7A37F128282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48" firstHeaderRow="1" firstDataRow="2" firstDataCol="1"/>
  <pivotFields count="6">
    <pivotField showAll="0">
      <items count="76">
        <item x="31"/>
        <item x="55"/>
        <item x="13"/>
        <item x="41"/>
        <item x="56"/>
        <item x="14"/>
        <item x="42"/>
        <item x="70"/>
        <item x="15"/>
        <item x="43"/>
        <item x="57"/>
        <item x="71"/>
        <item x="44"/>
        <item x="72"/>
        <item x="45"/>
        <item x="73"/>
        <item x="16"/>
        <item x="58"/>
        <item x="74"/>
        <item x="17"/>
        <item x="59"/>
        <item x="18"/>
        <item x="46"/>
        <item x="60"/>
        <item x="19"/>
        <item x="47"/>
        <item x="61"/>
        <item x="20"/>
        <item x="62"/>
        <item x="0"/>
        <item x="1"/>
        <item x="48"/>
        <item x="2"/>
        <item x="21"/>
        <item x="32"/>
        <item x="63"/>
        <item x="22"/>
        <item x="64"/>
        <item x="23"/>
        <item x="49"/>
        <item x="3"/>
        <item x="24"/>
        <item x="50"/>
        <item x="4"/>
        <item x="25"/>
        <item x="51"/>
        <item x="65"/>
        <item x="5"/>
        <item x="6"/>
        <item x="33"/>
        <item x="7"/>
        <item x="26"/>
        <item x="66"/>
        <item x="27"/>
        <item x="34"/>
        <item x="67"/>
        <item x="28"/>
        <item x="35"/>
        <item x="8"/>
        <item x="29"/>
        <item x="9"/>
        <item x="52"/>
        <item x="10"/>
        <item x="36"/>
        <item x="53"/>
        <item x="11"/>
        <item x="37"/>
        <item x="54"/>
        <item x="12"/>
        <item x="38"/>
        <item x="68"/>
        <item x="30"/>
        <item x="39"/>
        <item x="69"/>
        <item x="40"/>
        <item t="default"/>
      </items>
    </pivotField>
    <pivotField showAll="0"/>
    <pivotField axis="axisRow" showAll="0">
      <items count="344">
        <item x="7"/>
        <item x="8"/>
        <item x="9"/>
        <item x="10"/>
        <item x="11"/>
        <item x="12"/>
        <item x="4"/>
        <item x="3"/>
        <item x="2"/>
        <item x="1"/>
        <item x="0"/>
        <item x="6"/>
        <item x="5"/>
        <item x="13"/>
        <item x="22"/>
        <item x="21"/>
        <item x="20"/>
        <item x="19"/>
        <item x="18"/>
        <item x="17"/>
        <item x="16"/>
        <item x="15"/>
        <item x="14"/>
        <item x="30"/>
        <item x="29"/>
        <item x="28"/>
        <item x="27"/>
        <item x="26"/>
        <item x="25"/>
        <item x="24"/>
        <item x="23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71"/>
        <item x="54"/>
        <item x="7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203"/>
        <item x="194"/>
        <item x="195"/>
        <item x="196"/>
        <item x="197"/>
        <item x="198"/>
        <item x="199"/>
        <item x="200"/>
        <item x="201"/>
        <item x="202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dataField="1" showAll="0"/>
  </pivotFields>
  <rowFields count="1">
    <field x="2"/>
  </rowFields>
  <rowItems count="3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agem de Dias em Atras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idea-carrier.atlassian.net/servicedesk/customer/portal/101/AFS-53374" TargetMode="External"/><Relationship Id="rId2" Type="http://schemas.openxmlformats.org/officeDocument/2006/relationships/hyperlink" Target="https://midea-carrier.atlassian.net/servicedesk/customer/portal/101/AFS-53355" TargetMode="External"/><Relationship Id="rId1" Type="http://schemas.openxmlformats.org/officeDocument/2006/relationships/hyperlink" Target="https://midea-carrier.atlassian.net/servicedesk/customer/portal/101/AFS-5331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9934-034D-49EE-836A-8F45BE113B69}">
  <dimension ref="A1:H347"/>
  <sheetViews>
    <sheetView tabSelected="1" workbookViewId="0">
      <selection activeCell="K4" sqref="K4"/>
    </sheetView>
  </sheetViews>
  <sheetFormatPr defaultRowHeight="14.4" x14ac:dyDescent="0.3"/>
  <cols>
    <col min="1" max="1" width="10.77734375" style="3" bestFit="1" customWidth="1"/>
    <col min="2" max="2" width="33.109375" bestFit="1" customWidth="1"/>
    <col min="3" max="3" width="10.109375" bestFit="1" customWidth="1"/>
    <col min="4" max="4" width="12.21875" bestFit="1" customWidth="1"/>
    <col min="5" max="5" width="9.6640625" bestFit="1" customWidth="1"/>
    <col min="6" max="6" width="10.33203125" bestFit="1" customWidth="1"/>
    <col min="7" max="7" width="13.44140625" style="15" bestFit="1" customWidth="1"/>
    <col min="8" max="8" width="12.109375" bestFit="1" customWidth="1"/>
  </cols>
  <sheetData>
    <row r="1" spans="1:8" x14ac:dyDescent="0.3">
      <c r="A1" s="13" t="s">
        <v>0</v>
      </c>
      <c r="B1" s="10" t="s">
        <v>2</v>
      </c>
      <c r="C1" s="10" t="s">
        <v>1</v>
      </c>
      <c r="D1" s="10" t="s">
        <v>3</v>
      </c>
      <c r="E1" s="10" t="s">
        <v>4</v>
      </c>
      <c r="F1" s="10" t="s">
        <v>1020</v>
      </c>
      <c r="G1" s="14" t="s">
        <v>1014</v>
      </c>
      <c r="H1" s="10" t="s">
        <v>1019</v>
      </c>
    </row>
    <row r="2" spans="1:8" x14ac:dyDescent="0.3">
      <c r="A2" s="12">
        <v>45882</v>
      </c>
      <c r="B2" s="11" t="s">
        <v>5</v>
      </c>
      <c r="C2" s="11" t="s">
        <v>6</v>
      </c>
      <c r="D2" s="11" t="s">
        <v>7</v>
      </c>
      <c r="E2" s="11" t="s">
        <v>8</v>
      </c>
      <c r="F2" s="12">
        <f ca="1">TODAY()</f>
        <v>46035</v>
      </c>
      <c r="G2" s="11">
        <f ca="1">NETWORKDAYS.INTL(A2,F2,1,'Feriado 2026'!$A$2:$A$14)</f>
        <v>108</v>
      </c>
      <c r="H2" s="11" t="str">
        <f ca="1">IF(G2&lt;=2,"Dentro do SLA","Fora do SLA")</f>
        <v>Fora do SLA</v>
      </c>
    </row>
    <row r="3" spans="1:8" x14ac:dyDescent="0.3">
      <c r="A3" s="12">
        <v>45882</v>
      </c>
      <c r="B3" s="11" t="s">
        <v>9</v>
      </c>
      <c r="C3" s="11" t="s">
        <v>10</v>
      </c>
      <c r="D3" s="11" t="s">
        <v>11</v>
      </c>
      <c r="E3" s="11" t="s">
        <v>8</v>
      </c>
      <c r="F3" s="12">
        <f t="shared" ref="F3:F66" ca="1" si="0">TODAY()</f>
        <v>46035</v>
      </c>
      <c r="G3" s="11">
        <f ca="1">NETWORKDAYS.INTL(A3,F3,1,'Feriado 2026'!$A$2:$A$14)</f>
        <v>108</v>
      </c>
      <c r="H3" s="11" t="str">
        <f t="shared" ref="H3:H66" ca="1" si="1">IF(G3&lt;=2,"Dentro do SLA","Fora do SLA")</f>
        <v>Fora do SLA</v>
      </c>
    </row>
    <row r="4" spans="1:8" x14ac:dyDescent="0.3">
      <c r="A4" s="12">
        <v>45882</v>
      </c>
      <c r="B4" s="11" t="s">
        <v>12</v>
      </c>
      <c r="C4" s="11" t="s">
        <v>13</v>
      </c>
      <c r="D4" s="11" t="s">
        <v>14</v>
      </c>
      <c r="E4" s="11" t="s">
        <v>8</v>
      </c>
      <c r="F4" s="12">
        <f t="shared" ca="1" si="0"/>
        <v>46035</v>
      </c>
      <c r="G4" s="11">
        <f ca="1">NETWORKDAYS.INTL(A4,F4,1,'Feriado 2026'!$A$2:$A$14)</f>
        <v>108</v>
      </c>
      <c r="H4" s="11" t="str">
        <f t="shared" ca="1" si="1"/>
        <v>Fora do SLA</v>
      </c>
    </row>
    <row r="5" spans="1:8" x14ac:dyDescent="0.3">
      <c r="A5" s="12">
        <v>45882</v>
      </c>
      <c r="B5" s="11" t="s">
        <v>15</v>
      </c>
      <c r="C5" s="11" t="s">
        <v>16</v>
      </c>
      <c r="D5" s="11" t="s">
        <v>17</v>
      </c>
      <c r="E5" s="11" t="s">
        <v>8</v>
      </c>
      <c r="F5" s="12">
        <f t="shared" ca="1" si="0"/>
        <v>46035</v>
      </c>
      <c r="G5" s="11">
        <f ca="1">NETWORKDAYS.INTL(A5,F5,1,'Feriado 2026'!$A$2:$A$14)</f>
        <v>108</v>
      </c>
      <c r="H5" s="11" t="str">
        <f t="shared" ca="1" si="1"/>
        <v>Fora do SLA</v>
      </c>
    </row>
    <row r="6" spans="1:8" x14ac:dyDescent="0.3">
      <c r="A6" s="12">
        <v>45882</v>
      </c>
      <c r="B6" s="11" t="s">
        <v>18</v>
      </c>
      <c r="C6" s="11" t="s">
        <v>19</v>
      </c>
      <c r="D6" s="11" t="s">
        <v>20</v>
      </c>
      <c r="E6" s="11" t="s">
        <v>8</v>
      </c>
      <c r="F6" s="12">
        <f t="shared" ca="1" si="0"/>
        <v>46035</v>
      </c>
      <c r="G6" s="11">
        <f ca="1">NETWORKDAYS.INTL(A6,F6,1,'Feriado 2026'!$A$2:$A$14)</f>
        <v>108</v>
      </c>
      <c r="H6" s="11" t="str">
        <f t="shared" ca="1" si="1"/>
        <v>Fora do SLA</v>
      </c>
    </row>
    <row r="7" spans="1:8" x14ac:dyDescent="0.3">
      <c r="A7" s="12">
        <v>45882</v>
      </c>
      <c r="B7" s="11" t="s">
        <v>21</v>
      </c>
      <c r="C7" s="11" t="s">
        <v>22</v>
      </c>
      <c r="D7" s="11" t="s">
        <v>23</v>
      </c>
      <c r="E7" s="11" t="s">
        <v>24</v>
      </c>
      <c r="F7" s="12">
        <f t="shared" ca="1" si="0"/>
        <v>46035</v>
      </c>
      <c r="G7" s="11">
        <f ca="1">NETWORKDAYS.INTL(A7,F7,1,'Feriado 2026'!$A$2:$A$14)</f>
        <v>108</v>
      </c>
      <c r="H7" s="11" t="str">
        <f t="shared" ca="1" si="1"/>
        <v>Fora do SLA</v>
      </c>
    </row>
    <row r="8" spans="1:8" x14ac:dyDescent="0.3">
      <c r="A8" s="12">
        <v>45882</v>
      </c>
      <c r="B8" s="11" t="s">
        <v>25</v>
      </c>
      <c r="C8" s="11" t="s">
        <v>26</v>
      </c>
      <c r="D8" s="11" t="s">
        <v>27</v>
      </c>
      <c r="E8" s="11" t="s">
        <v>24</v>
      </c>
      <c r="F8" s="12">
        <f t="shared" ca="1" si="0"/>
        <v>46035</v>
      </c>
      <c r="G8" s="11">
        <f ca="1">NETWORKDAYS.INTL(A8,F8,1,'Feriado 2026'!$A$2:$A$14)</f>
        <v>108</v>
      </c>
      <c r="H8" s="11" t="str">
        <f t="shared" ca="1" si="1"/>
        <v>Fora do SLA</v>
      </c>
    </row>
    <row r="9" spans="1:8" x14ac:dyDescent="0.3">
      <c r="A9" s="12">
        <v>45882</v>
      </c>
      <c r="B9" s="11" t="s">
        <v>28</v>
      </c>
      <c r="C9" s="11" t="s">
        <v>29</v>
      </c>
      <c r="D9" s="11" t="s">
        <v>30</v>
      </c>
      <c r="E9" s="11" t="s">
        <v>8</v>
      </c>
      <c r="F9" s="12">
        <f t="shared" ca="1" si="0"/>
        <v>46035</v>
      </c>
      <c r="G9" s="11">
        <f ca="1">NETWORKDAYS.INTL(A9,F9,1,'Feriado 2026'!$A$2:$A$14)</f>
        <v>108</v>
      </c>
      <c r="H9" s="11" t="str">
        <f t="shared" ca="1" si="1"/>
        <v>Fora do SLA</v>
      </c>
    </row>
    <row r="10" spans="1:8" x14ac:dyDescent="0.3">
      <c r="A10" s="12">
        <v>45882</v>
      </c>
      <c r="B10" s="11" t="s">
        <v>31</v>
      </c>
      <c r="C10" s="11" t="s">
        <v>32</v>
      </c>
      <c r="D10" s="11" t="s">
        <v>33</v>
      </c>
      <c r="E10" s="11" t="s">
        <v>8</v>
      </c>
      <c r="F10" s="12">
        <f t="shared" ca="1" si="0"/>
        <v>46035</v>
      </c>
      <c r="G10" s="11">
        <f ca="1">NETWORKDAYS.INTL(A10,F10,1,'Feriado 2026'!$A$2:$A$14)</f>
        <v>108</v>
      </c>
      <c r="H10" s="11" t="str">
        <f t="shared" ca="1" si="1"/>
        <v>Fora do SLA</v>
      </c>
    </row>
    <row r="11" spans="1:8" x14ac:dyDescent="0.3">
      <c r="A11" s="12">
        <v>45882</v>
      </c>
      <c r="B11" s="11" t="s">
        <v>34</v>
      </c>
      <c r="C11" s="11" t="s">
        <v>35</v>
      </c>
      <c r="D11" s="11" t="s">
        <v>36</v>
      </c>
      <c r="E11" s="11" t="s">
        <v>8</v>
      </c>
      <c r="F11" s="12">
        <f t="shared" ca="1" si="0"/>
        <v>46035</v>
      </c>
      <c r="G11" s="11">
        <f ca="1">NETWORKDAYS.INTL(A11,F11,1,'Feriado 2026'!$A$2:$A$14)</f>
        <v>108</v>
      </c>
      <c r="H11" s="11" t="str">
        <f t="shared" ca="1" si="1"/>
        <v>Fora do SLA</v>
      </c>
    </row>
    <row r="12" spans="1:8" x14ac:dyDescent="0.3">
      <c r="A12" s="12">
        <v>45882</v>
      </c>
      <c r="B12" s="11" t="s">
        <v>37</v>
      </c>
      <c r="C12" s="11" t="s">
        <v>38</v>
      </c>
      <c r="D12" s="11" t="s">
        <v>39</v>
      </c>
      <c r="E12" s="11" t="s">
        <v>8</v>
      </c>
      <c r="F12" s="12">
        <f t="shared" ca="1" si="0"/>
        <v>46035</v>
      </c>
      <c r="G12" s="11">
        <f ca="1">NETWORKDAYS.INTL(A12,F12,1,'Feriado 2026'!$A$2:$A$14)</f>
        <v>108</v>
      </c>
      <c r="H12" s="11" t="str">
        <f t="shared" ca="1" si="1"/>
        <v>Fora do SLA</v>
      </c>
    </row>
    <row r="13" spans="1:8" x14ac:dyDescent="0.3">
      <c r="A13" s="12">
        <v>45882</v>
      </c>
      <c r="B13" s="11" t="s">
        <v>40</v>
      </c>
      <c r="C13" s="11" t="s">
        <v>41</v>
      </c>
      <c r="D13" s="11" t="s">
        <v>42</v>
      </c>
      <c r="E13" s="11" t="s">
        <v>24</v>
      </c>
      <c r="F13" s="12">
        <f t="shared" ca="1" si="0"/>
        <v>46035</v>
      </c>
      <c r="G13" s="11">
        <f ca="1">NETWORKDAYS.INTL(A13,F13,1,'Feriado 2026'!$A$2:$A$14)</f>
        <v>108</v>
      </c>
      <c r="H13" s="11" t="str">
        <f t="shared" ca="1" si="1"/>
        <v>Fora do SLA</v>
      </c>
    </row>
    <row r="14" spans="1:8" x14ac:dyDescent="0.3">
      <c r="A14" s="12">
        <v>45882</v>
      </c>
      <c r="B14" s="11" t="s">
        <v>40</v>
      </c>
      <c r="C14" s="11" t="s">
        <v>43</v>
      </c>
      <c r="D14" s="11" t="s">
        <v>42</v>
      </c>
      <c r="E14" s="11" t="s">
        <v>24</v>
      </c>
      <c r="F14" s="12">
        <f t="shared" ca="1" si="0"/>
        <v>46035</v>
      </c>
      <c r="G14" s="11">
        <f ca="1">NETWORKDAYS.INTL(A14,F14,1,'Feriado 2026'!$A$2:$A$14)</f>
        <v>108</v>
      </c>
      <c r="H14" s="11" t="str">
        <f t="shared" ca="1" si="1"/>
        <v>Fora do SLA</v>
      </c>
    </row>
    <row r="15" spans="1:8" x14ac:dyDescent="0.3">
      <c r="A15" s="12">
        <v>45882</v>
      </c>
      <c r="B15" s="11" t="s">
        <v>44</v>
      </c>
      <c r="C15" s="11" t="s">
        <v>45</v>
      </c>
      <c r="D15" s="11" t="s">
        <v>46</v>
      </c>
      <c r="E15" s="11" t="s">
        <v>8</v>
      </c>
      <c r="F15" s="12">
        <f t="shared" ca="1" si="0"/>
        <v>46035</v>
      </c>
      <c r="G15" s="11">
        <f ca="1">NETWORKDAYS.INTL(A15,F15,1,'Feriado 2026'!$A$2:$A$14)</f>
        <v>108</v>
      </c>
      <c r="H15" s="11" t="str">
        <f t="shared" ca="1" si="1"/>
        <v>Fora do SLA</v>
      </c>
    </row>
    <row r="16" spans="1:8" x14ac:dyDescent="0.3">
      <c r="A16" s="12">
        <v>45883</v>
      </c>
      <c r="B16" s="11" t="s">
        <v>47</v>
      </c>
      <c r="C16" s="11" t="s">
        <v>48</v>
      </c>
      <c r="D16" s="11" t="s">
        <v>49</v>
      </c>
      <c r="E16" s="11" t="s">
        <v>24</v>
      </c>
      <c r="F16" s="12">
        <f t="shared" ca="1" si="0"/>
        <v>46035</v>
      </c>
      <c r="G16" s="11">
        <f ca="1">NETWORKDAYS.INTL(A16,F16,1,'Feriado 2026'!$A$2:$A$14)</f>
        <v>107</v>
      </c>
      <c r="H16" s="11" t="str">
        <f t="shared" ca="1" si="1"/>
        <v>Fora do SLA</v>
      </c>
    </row>
    <row r="17" spans="1:8" x14ac:dyDescent="0.3">
      <c r="A17" s="12">
        <v>45883</v>
      </c>
      <c r="B17" s="11" t="s">
        <v>50</v>
      </c>
      <c r="C17" s="11" t="s">
        <v>51</v>
      </c>
      <c r="D17" s="11" t="s">
        <v>52</v>
      </c>
      <c r="E17" s="11" t="s">
        <v>24</v>
      </c>
      <c r="F17" s="12">
        <f t="shared" ca="1" si="0"/>
        <v>46035</v>
      </c>
      <c r="G17" s="11">
        <f ca="1">NETWORKDAYS.INTL(A17,F17,1,'Feriado 2026'!$A$2:$A$14)</f>
        <v>107</v>
      </c>
      <c r="H17" s="11" t="str">
        <f t="shared" ca="1" si="1"/>
        <v>Fora do SLA</v>
      </c>
    </row>
    <row r="18" spans="1:8" x14ac:dyDescent="0.3">
      <c r="A18" s="12">
        <v>45883</v>
      </c>
      <c r="B18" s="11" t="s">
        <v>53</v>
      </c>
      <c r="C18" s="11" t="s">
        <v>54</v>
      </c>
      <c r="D18" s="11" t="s">
        <v>55</v>
      </c>
      <c r="E18" s="11" t="s">
        <v>24</v>
      </c>
      <c r="F18" s="12">
        <f t="shared" ca="1" si="0"/>
        <v>46035</v>
      </c>
      <c r="G18" s="11">
        <f ca="1">NETWORKDAYS.INTL(A18,F18,1,'Feriado 2026'!$A$2:$A$14)</f>
        <v>107</v>
      </c>
      <c r="H18" s="11" t="str">
        <f t="shared" ca="1" si="1"/>
        <v>Fora do SLA</v>
      </c>
    </row>
    <row r="19" spans="1:8" x14ac:dyDescent="0.3">
      <c r="A19" s="12">
        <v>45883</v>
      </c>
      <c r="B19" s="11" t="s">
        <v>47</v>
      </c>
      <c r="C19" s="11" t="s">
        <v>56</v>
      </c>
      <c r="D19" s="11" t="s">
        <v>49</v>
      </c>
      <c r="E19" s="11" t="s">
        <v>24</v>
      </c>
      <c r="F19" s="12">
        <f t="shared" ca="1" si="0"/>
        <v>46035</v>
      </c>
      <c r="G19" s="11">
        <f ca="1">NETWORKDAYS.INTL(A19,F19,1,'Feriado 2026'!$A$2:$A$14)</f>
        <v>107</v>
      </c>
      <c r="H19" s="11" t="str">
        <f t="shared" ca="1" si="1"/>
        <v>Fora do SLA</v>
      </c>
    </row>
    <row r="20" spans="1:8" x14ac:dyDescent="0.3">
      <c r="A20" s="12">
        <v>45883</v>
      </c>
      <c r="B20" s="11" t="s">
        <v>57</v>
      </c>
      <c r="C20" s="11" t="s">
        <v>58</v>
      </c>
      <c r="D20" s="11" t="s">
        <v>59</v>
      </c>
      <c r="E20" s="11" t="s">
        <v>24</v>
      </c>
      <c r="F20" s="12">
        <f t="shared" ca="1" si="0"/>
        <v>46035</v>
      </c>
      <c r="G20" s="11">
        <f ca="1">NETWORKDAYS.INTL(A20,F20,1,'Feriado 2026'!$A$2:$A$14)</f>
        <v>107</v>
      </c>
      <c r="H20" s="11" t="str">
        <f t="shared" ca="1" si="1"/>
        <v>Fora do SLA</v>
      </c>
    </row>
    <row r="21" spans="1:8" x14ac:dyDescent="0.3">
      <c r="A21" s="12">
        <v>45883</v>
      </c>
      <c r="B21" s="11" t="s">
        <v>60</v>
      </c>
      <c r="C21" s="11" t="s">
        <v>61</v>
      </c>
      <c r="D21" s="11" t="s">
        <v>62</v>
      </c>
      <c r="E21" s="11" t="s">
        <v>8</v>
      </c>
      <c r="F21" s="12">
        <f t="shared" ca="1" si="0"/>
        <v>46035</v>
      </c>
      <c r="G21" s="11">
        <f ca="1">NETWORKDAYS.INTL(A21,F21,1,'Feriado 2026'!$A$2:$A$14)</f>
        <v>107</v>
      </c>
      <c r="H21" s="11" t="str">
        <f t="shared" ca="1" si="1"/>
        <v>Fora do SLA</v>
      </c>
    </row>
    <row r="22" spans="1:8" x14ac:dyDescent="0.3">
      <c r="A22" s="12">
        <v>45883</v>
      </c>
      <c r="B22" s="11" t="s">
        <v>63</v>
      </c>
      <c r="C22" s="11" t="s">
        <v>64</v>
      </c>
      <c r="D22" s="11" t="s">
        <v>65</v>
      </c>
      <c r="E22" s="11" t="s">
        <v>8</v>
      </c>
      <c r="F22" s="12">
        <f t="shared" ca="1" si="0"/>
        <v>46035</v>
      </c>
      <c r="G22" s="11">
        <f ca="1">NETWORKDAYS.INTL(A22,F22,1,'Feriado 2026'!$A$2:$A$14)</f>
        <v>107</v>
      </c>
      <c r="H22" s="11" t="str">
        <f t="shared" ca="1" si="1"/>
        <v>Fora do SLA</v>
      </c>
    </row>
    <row r="23" spans="1:8" x14ac:dyDescent="0.3">
      <c r="A23" s="12">
        <v>45883</v>
      </c>
      <c r="B23" s="11" t="s">
        <v>66</v>
      </c>
      <c r="C23" s="11" t="s">
        <v>67</v>
      </c>
      <c r="D23" s="11" t="s">
        <v>68</v>
      </c>
      <c r="E23" s="11" t="s">
        <v>8</v>
      </c>
      <c r="F23" s="12">
        <f t="shared" ca="1" si="0"/>
        <v>46035</v>
      </c>
      <c r="G23" s="11">
        <f ca="1">NETWORKDAYS.INTL(A23,F23,1,'Feriado 2026'!$A$2:$A$14)</f>
        <v>107</v>
      </c>
      <c r="H23" s="11" t="str">
        <f t="shared" ca="1" si="1"/>
        <v>Fora do SLA</v>
      </c>
    </row>
    <row r="24" spans="1:8" x14ac:dyDescent="0.3">
      <c r="A24" s="12">
        <v>45883</v>
      </c>
      <c r="B24" s="11" t="s">
        <v>69</v>
      </c>
      <c r="C24" s="11" t="s">
        <v>70</v>
      </c>
      <c r="D24" s="11" t="s">
        <v>71</v>
      </c>
      <c r="E24" s="11" t="s">
        <v>8</v>
      </c>
      <c r="F24" s="12">
        <f t="shared" ca="1" si="0"/>
        <v>46035</v>
      </c>
      <c r="G24" s="11">
        <f ca="1">NETWORKDAYS.INTL(A24,F24,1,'Feriado 2026'!$A$2:$A$14)</f>
        <v>107</v>
      </c>
      <c r="H24" s="11" t="str">
        <f t="shared" ca="1" si="1"/>
        <v>Fora do SLA</v>
      </c>
    </row>
    <row r="25" spans="1:8" x14ac:dyDescent="0.3">
      <c r="A25" s="12">
        <v>45884</v>
      </c>
      <c r="B25" s="11" t="s">
        <v>72</v>
      </c>
      <c r="C25" s="11" t="s">
        <v>73</v>
      </c>
      <c r="D25" s="11" t="s">
        <v>74</v>
      </c>
      <c r="E25" s="11" t="s">
        <v>24</v>
      </c>
      <c r="F25" s="12">
        <f t="shared" ca="1" si="0"/>
        <v>46035</v>
      </c>
      <c r="G25" s="11">
        <f ca="1">NETWORKDAYS.INTL(A25,F25,1,'Feriado 2026'!$A$2:$A$14)</f>
        <v>106</v>
      </c>
      <c r="H25" s="11" t="str">
        <f t="shared" ca="1" si="1"/>
        <v>Fora do SLA</v>
      </c>
    </row>
    <row r="26" spans="1:8" x14ac:dyDescent="0.3">
      <c r="A26" s="12">
        <v>45884</v>
      </c>
      <c r="B26" s="11" t="s">
        <v>75</v>
      </c>
      <c r="C26" s="11" t="s">
        <v>76</v>
      </c>
      <c r="D26" s="11" t="s">
        <v>77</v>
      </c>
      <c r="E26" s="11" t="s">
        <v>24</v>
      </c>
      <c r="F26" s="12">
        <f t="shared" ca="1" si="0"/>
        <v>46035</v>
      </c>
      <c r="G26" s="11">
        <f ca="1">NETWORKDAYS.INTL(A26,F26,1,'Feriado 2026'!$A$2:$A$14)</f>
        <v>106</v>
      </c>
      <c r="H26" s="11" t="str">
        <f t="shared" ca="1" si="1"/>
        <v>Fora do SLA</v>
      </c>
    </row>
    <row r="27" spans="1:8" x14ac:dyDescent="0.3">
      <c r="A27" s="12">
        <v>45884</v>
      </c>
      <c r="B27" s="11" t="s">
        <v>78</v>
      </c>
      <c r="C27" s="11" t="s">
        <v>79</v>
      </c>
      <c r="D27" s="11" t="s">
        <v>80</v>
      </c>
      <c r="E27" s="11" t="s">
        <v>24</v>
      </c>
      <c r="F27" s="12">
        <f t="shared" ca="1" si="0"/>
        <v>46035</v>
      </c>
      <c r="G27" s="11">
        <f ca="1">NETWORKDAYS.INTL(A27,F27,1,'Feriado 2026'!$A$2:$A$14)</f>
        <v>106</v>
      </c>
      <c r="H27" s="11" t="str">
        <f t="shared" ca="1" si="1"/>
        <v>Fora do SLA</v>
      </c>
    </row>
    <row r="28" spans="1:8" x14ac:dyDescent="0.3">
      <c r="A28" s="12">
        <v>45884</v>
      </c>
      <c r="B28" s="11" t="s">
        <v>81</v>
      </c>
      <c r="C28" s="11" t="s">
        <v>82</v>
      </c>
      <c r="D28" s="11" t="s">
        <v>83</v>
      </c>
      <c r="E28" s="11" t="s">
        <v>24</v>
      </c>
      <c r="F28" s="12">
        <f t="shared" ca="1" si="0"/>
        <v>46035</v>
      </c>
      <c r="G28" s="11">
        <f ca="1">NETWORKDAYS.INTL(A28,F28,1,'Feriado 2026'!$A$2:$A$14)</f>
        <v>106</v>
      </c>
      <c r="H28" s="11" t="str">
        <f t="shared" ca="1" si="1"/>
        <v>Fora do SLA</v>
      </c>
    </row>
    <row r="29" spans="1:8" x14ac:dyDescent="0.3">
      <c r="A29" s="12">
        <v>45884</v>
      </c>
      <c r="B29" s="11" t="s">
        <v>84</v>
      </c>
      <c r="C29" s="11" t="s">
        <v>85</v>
      </c>
      <c r="D29" s="11" t="s">
        <v>86</v>
      </c>
      <c r="E29" s="11" t="s">
        <v>24</v>
      </c>
      <c r="F29" s="12">
        <f t="shared" ca="1" si="0"/>
        <v>46035</v>
      </c>
      <c r="G29" s="11">
        <f ca="1">NETWORKDAYS.INTL(A29,F29,1,'Feriado 2026'!$A$2:$A$14)</f>
        <v>106</v>
      </c>
      <c r="H29" s="11" t="str">
        <f t="shared" ca="1" si="1"/>
        <v>Fora do SLA</v>
      </c>
    </row>
    <row r="30" spans="1:8" x14ac:dyDescent="0.3">
      <c r="A30" s="12">
        <v>45884</v>
      </c>
      <c r="B30" s="11" t="s">
        <v>87</v>
      </c>
      <c r="C30" s="11" t="s">
        <v>88</v>
      </c>
      <c r="D30" s="11" t="s">
        <v>89</v>
      </c>
      <c r="E30" s="11" t="s">
        <v>24</v>
      </c>
      <c r="F30" s="12">
        <f t="shared" ca="1" si="0"/>
        <v>46035</v>
      </c>
      <c r="G30" s="11">
        <f ca="1">NETWORKDAYS.INTL(A30,F30,1,'Feriado 2026'!$A$2:$A$14)</f>
        <v>106</v>
      </c>
      <c r="H30" s="11" t="str">
        <f t="shared" ca="1" si="1"/>
        <v>Fora do SLA</v>
      </c>
    </row>
    <row r="31" spans="1:8" x14ac:dyDescent="0.3">
      <c r="A31" s="12">
        <v>45884</v>
      </c>
      <c r="B31" s="11" t="s">
        <v>9</v>
      </c>
      <c r="C31" s="11" t="s">
        <v>90</v>
      </c>
      <c r="D31" s="11" t="s">
        <v>11</v>
      </c>
      <c r="E31" s="11" t="s">
        <v>24</v>
      </c>
      <c r="F31" s="12">
        <f t="shared" ca="1" si="0"/>
        <v>46035</v>
      </c>
      <c r="G31" s="11">
        <f ca="1">NETWORKDAYS.INTL(A31,F31,1,'Feriado 2026'!$A$2:$A$14)</f>
        <v>106</v>
      </c>
      <c r="H31" s="11" t="str">
        <f t="shared" ca="1" si="1"/>
        <v>Fora do SLA</v>
      </c>
    </row>
    <row r="32" spans="1:8" x14ac:dyDescent="0.3">
      <c r="A32" s="12">
        <v>45884</v>
      </c>
      <c r="B32" s="11" t="s">
        <v>91</v>
      </c>
      <c r="C32" s="11" t="s">
        <v>92</v>
      </c>
      <c r="D32" s="11" t="s">
        <v>93</v>
      </c>
      <c r="E32" s="11" t="s">
        <v>24</v>
      </c>
      <c r="F32" s="12">
        <f t="shared" ca="1" si="0"/>
        <v>46035</v>
      </c>
      <c r="G32" s="11">
        <f ca="1">NETWORKDAYS.INTL(A32,F32,1,'Feriado 2026'!$A$2:$A$14)</f>
        <v>106</v>
      </c>
      <c r="H32" s="11" t="str">
        <f t="shared" ca="1" si="1"/>
        <v>Fora do SLA</v>
      </c>
    </row>
    <row r="33" spans="1:8" x14ac:dyDescent="0.3">
      <c r="A33" s="12">
        <v>45887</v>
      </c>
      <c r="B33" s="11" t="s">
        <v>94</v>
      </c>
      <c r="C33" s="11" t="s">
        <v>95</v>
      </c>
      <c r="D33" s="11" t="s">
        <v>96</v>
      </c>
      <c r="E33" s="11" t="s">
        <v>24</v>
      </c>
      <c r="F33" s="12">
        <f t="shared" ca="1" si="0"/>
        <v>46035</v>
      </c>
      <c r="G33" s="11">
        <f ca="1">NETWORKDAYS.INTL(A33,F33,1,'Feriado 2026'!$A$2:$A$14)</f>
        <v>105</v>
      </c>
      <c r="H33" s="11" t="str">
        <f t="shared" ca="1" si="1"/>
        <v>Fora do SLA</v>
      </c>
    </row>
    <row r="34" spans="1:8" x14ac:dyDescent="0.3">
      <c r="A34" s="12">
        <v>45888</v>
      </c>
      <c r="B34" s="11" t="s">
        <v>97</v>
      </c>
      <c r="C34" s="11" t="s">
        <v>98</v>
      </c>
      <c r="D34" s="11" t="s">
        <v>99</v>
      </c>
      <c r="E34" s="11" t="s">
        <v>24</v>
      </c>
      <c r="F34" s="12">
        <f t="shared" ca="1" si="0"/>
        <v>46035</v>
      </c>
      <c r="G34" s="11">
        <f ca="1">NETWORKDAYS.INTL(A34,F34,1,'Feriado 2026'!$A$2:$A$14)</f>
        <v>104</v>
      </c>
      <c r="H34" s="11" t="str">
        <f t="shared" ca="1" si="1"/>
        <v>Fora do SLA</v>
      </c>
    </row>
    <row r="35" spans="1:8" x14ac:dyDescent="0.3">
      <c r="A35" s="12">
        <v>45888</v>
      </c>
      <c r="B35" s="11" t="s">
        <v>100</v>
      </c>
      <c r="C35" s="11" t="s">
        <v>101</v>
      </c>
      <c r="D35" s="11" t="s">
        <v>102</v>
      </c>
      <c r="E35" s="11" t="s">
        <v>24</v>
      </c>
      <c r="F35" s="12">
        <f t="shared" ca="1" si="0"/>
        <v>46035</v>
      </c>
      <c r="G35" s="11">
        <f ca="1">NETWORKDAYS.INTL(A35,F35,1,'Feriado 2026'!$A$2:$A$14)</f>
        <v>104</v>
      </c>
      <c r="H35" s="11" t="str">
        <f t="shared" ca="1" si="1"/>
        <v>Fora do SLA</v>
      </c>
    </row>
    <row r="36" spans="1:8" x14ac:dyDescent="0.3">
      <c r="A36" s="12">
        <v>45888</v>
      </c>
      <c r="B36" s="11" t="s">
        <v>103</v>
      </c>
      <c r="C36" s="11" t="s">
        <v>104</v>
      </c>
      <c r="D36" s="11" t="s">
        <v>105</v>
      </c>
      <c r="E36" s="11" t="s">
        <v>24</v>
      </c>
      <c r="F36" s="12">
        <f t="shared" ca="1" si="0"/>
        <v>46035</v>
      </c>
      <c r="G36" s="11">
        <f ca="1">NETWORKDAYS.INTL(A36,F36,1,'Feriado 2026'!$A$2:$A$14)</f>
        <v>104</v>
      </c>
      <c r="H36" s="11" t="str">
        <f t="shared" ca="1" si="1"/>
        <v>Fora do SLA</v>
      </c>
    </row>
    <row r="37" spans="1:8" x14ac:dyDescent="0.3">
      <c r="A37" s="12">
        <v>45888</v>
      </c>
      <c r="B37" s="11" t="s">
        <v>106</v>
      </c>
      <c r="C37" s="11" t="s">
        <v>107</v>
      </c>
      <c r="D37" s="11" t="s">
        <v>108</v>
      </c>
      <c r="E37" s="11" t="s">
        <v>24</v>
      </c>
      <c r="F37" s="12">
        <f t="shared" ca="1" si="0"/>
        <v>46035</v>
      </c>
      <c r="G37" s="11">
        <f ca="1">NETWORKDAYS.INTL(A37,F37,1,'Feriado 2026'!$A$2:$A$14)</f>
        <v>104</v>
      </c>
      <c r="H37" s="11" t="str">
        <f t="shared" ca="1" si="1"/>
        <v>Fora do SLA</v>
      </c>
    </row>
    <row r="38" spans="1:8" x14ac:dyDescent="0.3">
      <c r="A38" s="12">
        <v>45888</v>
      </c>
      <c r="B38" s="11" t="s">
        <v>109</v>
      </c>
      <c r="C38" s="11" t="s">
        <v>110</v>
      </c>
      <c r="D38" s="11" t="s">
        <v>111</v>
      </c>
      <c r="E38" s="11" t="s">
        <v>8</v>
      </c>
      <c r="F38" s="12">
        <f t="shared" ca="1" si="0"/>
        <v>46035</v>
      </c>
      <c r="G38" s="11">
        <f ca="1">NETWORKDAYS.INTL(A38,F38,1,'Feriado 2026'!$A$2:$A$14)</f>
        <v>104</v>
      </c>
      <c r="H38" s="11" t="str">
        <f t="shared" ca="1" si="1"/>
        <v>Fora do SLA</v>
      </c>
    </row>
    <row r="39" spans="1:8" x14ac:dyDescent="0.3">
      <c r="A39" s="12">
        <v>45889</v>
      </c>
      <c r="B39" s="11" t="s">
        <v>112</v>
      </c>
      <c r="C39" s="11" t="s">
        <v>113</v>
      </c>
      <c r="D39" s="11" t="s">
        <v>114</v>
      </c>
      <c r="E39" s="11" t="s">
        <v>24</v>
      </c>
      <c r="F39" s="12">
        <f t="shared" ca="1" si="0"/>
        <v>46035</v>
      </c>
      <c r="G39" s="11">
        <f ca="1">NETWORKDAYS.INTL(A39,F39,1,'Feriado 2026'!$A$2:$A$14)</f>
        <v>103</v>
      </c>
      <c r="H39" s="11" t="str">
        <f t="shared" ca="1" si="1"/>
        <v>Fora do SLA</v>
      </c>
    </row>
    <row r="40" spans="1:8" x14ac:dyDescent="0.3">
      <c r="A40" s="12">
        <v>45890</v>
      </c>
      <c r="B40" s="11" t="s">
        <v>115</v>
      </c>
      <c r="C40" s="11" t="s">
        <v>116</v>
      </c>
      <c r="D40" s="11" t="s">
        <v>117</v>
      </c>
      <c r="E40" s="11" t="s">
        <v>24</v>
      </c>
      <c r="F40" s="12">
        <f t="shared" ca="1" si="0"/>
        <v>46035</v>
      </c>
      <c r="G40" s="11">
        <f ca="1">NETWORKDAYS.INTL(A40,F40,1,'Feriado 2026'!$A$2:$A$14)</f>
        <v>102</v>
      </c>
      <c r="H40" s="11" t="str">
        <f t="shared" ca="1" si="1"/>
        <v>Fora do SLA</v>
      </c>
    </row>
    <row r="41" spans="1:8" x14ac:dyDescent="0.3">
      <c r="A41" s="12">
        <v>45890</v>
      </c>
      <c r="B41" s="11" t="s">
        <v>118</v>
      </c>
      <c r="C41" s="11" t="s">
        <v>119</v>
      </c>
      <c r="D41" s="11" t="s">
        <v>120</v>
      </c>
      <c r="E41" s="11" t="s">
        <v>24</v>
      </c>
      <c r="F41" s="12">
        <f t="shared" ca="1" si="0"/>
        <v>46035</v>
      </c>
      <c r="G41" s="11">
        <f ca="1">NETWORKDAYS.INTL(A41,F41,1,'Feriado 2026'!$A$2:$A$14)</f>
        <v>102</v>
      </c>
      <c r="H41" s="11" t="str">
        <f t="shared" ca="1" si="1"/>
        <v>Fora do SLA</v>
      </c>
    </row>
    <row r="42" spans="1:8" x14ac:dyDescent="0.3">
      <c r="A42" s="12">
        <v>45891</v>
      </c>
      <c r="B42" s="11" t="s">
        <v>121</v>
      </c>
      <c r="C42" s="11" t="s">
        <v>122</v>
      </c>
      <c r="D42" s="11" t="s">
        <v>123</v>
      </c>
      <c r="E42" s="11" t="s">
        <v>8</v>
      </c>
      <c r="F42" s="12">
        <f t="shared" ca="1" si="0"/>
        <v>46035</v>
      </c>
      <c r="G42" s="11">
        <f ca="1">NETWORKDAYS.INTL(A42,F42,1,'Feriado 2026'!$A$2:$A$14)</f>
        <v>101</v>
      </c>
      <c r="H42" s="11" t="str">
        <f t="shared" ca="1" si="1"/>
        <v>Fora do SLA</v>
      </c>
    </row>
    <row r="43" spans="1:8" x14ac:dyDescent="0.3">
      <c r="A43" s="12">
        <v>45891</v>
      </c>
      <c r="B43" s="11" t="s">
        <v>124</v>
      </c>
      <c r="C43" s="11" t="s">
        <v>125</v>
      </c>
      <c r="D43" s="11" t="s">
        <v>126</v>
      </c>
      <c r="E43" s="11" t="s">
        <v>24</v>
      </c>
      <c r="F43" s="12">
        <f t="shared" ca="1" si="0"/>
        <v>46035</v>
      </c>
      <c r="G43" s="11">
        <f ca="1">NETWORKDAYS.INTL(A43,F43,1,'Feriado 2026'!$A$2:$A$14)</f>
        <v>101</v>
      </c>
      <c r="H43" s="11" t="str">
        <f t="shared" ca="1" si="1"/>
        <v>Fora do SLA</v>
      </c>
    </row>
    <row r="44" spans="1:8" x14ac:dyDescent="0.3">
      <c r="A44" s="12">
        <v>45891</v>
      </c>
      <c r="B44" s="11" t="s">
        <v>53</v>
      </c>
      <c r="C44" s="11" t="s">
        <v>127</v>
      </c>
      <c r="D44" s="11" t="s">
        <v>128</v>
      </c>
      <c r="E44" s="11" t="s">
        <v>8</v>
      </c>
      <c r="F44" s="12">
        <f t="shared" ca="1" si="0"/>
        <v>46035</v>
      </c>
      <c r="G44" s="11">
        <f ca="1">NETWORKDAYS.INTL(A44,F44,1,'Feriado 2026'!$A$2:$A$14)</f>
        <v>101</v>
      </c>
      <c r="H44" s="11" t="str">
        <f t="shared" ca="1" si="1"/>
        <v>Fora do SLA</v>
      </c>
    </row>
    <row r="45" spans="1:8" x14ac:dyDescent="0.3">
      <c r="A45" s="12">
        <v>45891</v>
      </c>
      <c r="B45" s="11" t="s">
        <v>129</v>
      </c>
      <c r="C45" s="11" t="s">
        <v>130</v>
      </c>
      <c r="D45" s="11" t="s">
        <v>131</v>
      </c>
      <c r="E45" s="11" t="s">
        <v>8</v>
      </c>
      <c r="F45" s="12">
        <f t="shared" ca="1" si="0"/>
        <v>46035</v>
      </c>
      <c r="G45" s="11">
        <f ca="1">NETWORKDAYS.INTL(A45,F45,1,'Feriado 2026'!$A$2:$A$14)</f>
        <v>101</v>
      </c>
      <c r="H45" s="11" t="str">
        <f t="shared" ca="1" si="1"/>
        <v>Fora do SLA</v>
      </c>
    </row>
    <row r="46" spans="1:8" x14ac:dyDescent="0.3">
      <c r="A46" s="12">
        <v>45891</v>
      </c>
      <c r="B46" s="11" t="s">
        <v>132</v>
      </c>
      <c r="C46" s="11" t="s">
        <v>133</v>
      </c>
      <c r="D46" s="11" t="s">
        <v>134</v>
      </c>
      <c r="E46" s="11" t="s">
        <v>8</v>
      </c>
      <c r="F46" s="12">
        <f t="shared" ca="1" si="0"/>
        <v>46035</v>
      </c>
      <c r="G46" s="11">
        <f ca="1">NETWORKDAYS.INTL(A46,F46,1,'Feriado 2026'!$A$2:$A$14)</f>
        <v>101</v>
      </c>
      <c r="H46" s="11" t="str">
        <f t="shared" ca="1" si="1"/>
        <v>Fora do SLA</v>
      </c>
    </row>
    <row r="47" spans="1:8" x14ac:dyDescent="0.3">
      <c r="A47" s="12">
        <v>45891</v>
      </c>
      <c r="B47" s="11" t="s">
        <v>135</v>
      </c>
      <c r="C47" s="11" t="s">
        <v>136</v>
      </c>
      <c r="D47" s="11" t="s">
        <v>137</v>
      </c>
      <c r="E47" s="11" t="s">
        <v>8</v>
      </c>
      <c r="F47" s="12">
        <f t="shared" ca="1" si="0"/>
        <v>46035</v>
      </c>
      <c r="G47" s="11">
        <f ca="1">NETWORKDAYS.INTL(A47,F47,1,'Feriado 2026'!$A$2:$A$14)</f>
        <v>101</v>
      </c>
      <c r="H47" s="11" t="str">
        <f t="shared" ca="1" si="1"/>
        <v>Fora do SLA</v>
      </c>
    </row>
    <row r="48" spans="1:8" x14ac:dyDescent="0.3">
      <c r="A48" s="12">
        <v>45891</v>
      </c>
      <c r="B48" s="11" t="s">
        <v>138</v>
      </c>
      <c r="C48" s="11" t="s">
        <v>139</v>
      </c>
      <c r="D48" s="11" t="s">
        <v>140</v>
      </c>
      <c r="E48" s="11" t="s">
        <v>8</v>
      </c>
      <c r="F48" s="12">
        <f t="shared" ca="1" si="0"/>
        <v>46035</v>
      </c>
      <c r="G48" s="11">
        <f ca="1">NETWORKDAYS.INTL(A48,F48,1,'Feriado 2026'!$A$2:$A$14)</f>
        <v>101</v>
      </c>
      <c r="H48" s="11" t="str">
        <f t="shared" ca="1" si="1"/>
        <v>Fora do SLA</v>
      </c>
    </row>
    <row r="49" spans="1:8" x14ac:dyDescent="0.3">
      <c r="A49" s="12">
        <v>45894</v>
      </c>
      <c r="B49" s="11" t="s">
        <v>121</v>
      </c>
      <c r="C49" s="11" t="s">
        <v>141</v>
      </c>
      <c r="D49" s="11" t="s">
        <v>123</v>
      </c>
      <c r="E49" s="11" t="s">
        <v>24</v>
      </c>
      <c r="F49" s="12">
        <f t="shared" ca="1" si="0"/>
        <v>46035</v>
      </c>
      <c r="G49" s="11">
        <f ca="1">NETWORKDAYS.INTL(A49,F49,1,'Feriado 2026'!$A$2:$A$14)</f>
        <v>100</v>
      </c>
      <c r="H49" s="11" t="str">
        <f t="shared" ca="1" si="1"/>
        <v>Fora do SLA</v>
      </c>
    </row>
    <row r="50" spans="1:8" x14ac:dyDescent="0.3">
      <c r="A50" s="12">
        <v>45894</v>
      </c>
      <c r="B50" s="11" t="s">
        <v>142</v>
      </c>
      <c r="C50" s="11" t="s">
        <v>143</v>
      </c>
      <c r="D50" s="11" t="s">
        <v>128</v>
      </c>
      <c r="E50" s="11" t="s">
        <v>24</v>
      </c>
      <c r="F50" s="12">
        <f t="shared" ca="1" si="0"/>
        <v>46035</v>
      </c>
      <c r="G50" s="11">
        <f ca="1">NETWORKDAYS.INTL(A50,F50,1,'Feriado 2026'!$A$2:$A$14)</f>
        <v>100</v>
      </c>
      <c r="H50" s="11" t="str">
        <f t="shared" ca="1" si="1"/>
        <v>Fora do SLA</v>
      </c>
    </row>
    <row r="51" spans="1:8" x14ac:dyDescent="0.3">
      <c r="A51" s="12">
        <v>45894</v>
      </c>
      <c r="B51" s="11" t="s">
        <v>144</v>
      </c>
      <c r="C51" s="11" t="s">
        <v>145</v>
      </c>
      <c r="D51" s="11" t="s">
        <v>146</v>
      </c>
      <c r="E51" s="11" t="s">
        <v>8</v>
      </c>
      <c r="F51" s="12">
        <f t="shared" ca="1" si="0"/>
        <v>46035</v>
      </c>
      <c r="G51" s="11">
        <f ca="1">NETWORKDAYS.INTL(A51,F51,1,'Feriado 2026'!$A$2:$A$14)</f>
        <v>100</v>
      </c>
      <c r="H51" s="11" t="str">
        <f t="shared" ca="1" si="1"/>
        <v>Fora do SLA</v>
      </c>
    </row>
    <row r="52" spans="1:8" x14ac:dyDescent="0.3">
      <c r="A52" s="12">
        <v>45894</v>
      </c>
      <c r="B52" s="11" t="s">
        <v>147</v>
      </c>
      <c r="C52" s="11" t="s">
        <v>148</v>
      </c>
      <c r="D52" s="11" t="s">
        <v>149</v>
      </c>
      <c r="E52" s="11" t="s">
        <v>8</v>
      </c>
      <c r="F52" s="12">
        <f t="shared" ca="1" si="0"/>
        <v>46035</v>
      </c>
      <c r="G52" s="11">
        <f ca="1">NETWORKDAYS.INTL(A52,F52,1,'Feriado 2026'!$A$2:$A$14)</f>
        <v>100</v>
      </c>
      <c r="H52" s="11" t="str">
        <f t="shared" ca="1" si="1"/>
        <v>Fora do SLA</v>
      </c>
    </row>
    <row r="53" spans="1:8" x14ac:dyDescent="0.3">
      <c r="A53" s="12">
        <v>45895</v>
      </c>
      <c r="B53" s="11" t="s">
        <v>150</v>
      </c>
      <c r="C53" s="11" t="s">
        <v>151</v>
      </c>
      <c r="D53" s="11" t="s">
        <v>152</v>
      </c>
      <c r="E53" s="11" t="s">
        <v>24</v>
      </c>
      <c r="F53" s="12">
        <f t="shared" ca="1" si="0"/>
        <v>46035</v>
      </c>
      <c r="G53" s="11">
        <f ca="1">NETWORKDAYS.INTL(A53,F53,1,'Feriado 2026'!$A$2:$A$14)</f>
        <v>99</v>
      </c>
      <c r="H53" s="11" t="str">
        <f t="shared" ca="1" si="1"/>
        <v>Fora do SLA</v>
      </c>
    </row>
    <row r="54" spans="1:8" x14ac:dyDescent="0.3">
      <c r="A54" s="12">
        <v>45895</v>
      </c>
      <c r="B54" s="11" t="s">
        <v>153</v>
      </c>
      <c r="C54" s="11" t="s">
        <v>154</v>
      </c>
      <c r="D54" s="11" t="s">
        <v>155</v>
      </c>
      <c r="E54" s="11" t="s">
        <v>8</v>
      </c>
      <c r="F54" s="12">
        <f t="shared" ca="1" si="0"/>
        <v>46035</v>
      </c>
      <c r="G54" s="11">
        <f ca="1">NETWORKDAYS.INTL(A54,F54,1,'Feriado 2026'!$A$2:$A$14)</f>
        <v>99</v>
      </c>
      <c r="H54" s="11" t="str">
        <f t="shared" ca="1" si="1"/>
        <v>Fora do SLA</v>
      </c>
    </row>
    <row r="55" spans="1:8" x14ac:dyDescent="0.3">
      <c r="A55" s="12">
        <v>45895</v>
      </c>
      <c r="B55" s="11" t="s">
        <v>156</v>
      </c>
      <c r="C55" s="11" t="s">
        <v>157</v>
      </c>
      <c r="D55" s="11" t="s">
        <v>158</v>
      </c>
      <c r="E55" s="11" t="s">
        <v>8</v>
      </c>
      <c r="F55" s="12">
        <f t="shared" ca="1" si="0"/>
        <v>46035</v>
      </c>
      <c r="G55" s="11">
        <f ca="1">NETWORKDAYS.INTL(A55,F55,1,'Feriado 2026'!$A$2:$A$14)</f>
        <v>99</v>
      </c>
      <c r="H55" s="11" t="str">
        <f t="shared" ca="1" si="1"/>
        <v>Fora do SLA</v>
      </c>
    </row>
    <row r="56" spans="1:8" x14ac:dyDescent="0.3">
      <c r="A56" s="12">
        <v>45895</v>
      </c>
      <c r="B56" s="11" t="s">
        <v>159</v>
      </c>
      <c r="C56" s="11" t="s">
        <v>160</v>
      </c>
      <c r="D56" s="11" t="s">
        <v>161</v>
      </c>
      <c r="E56" s="11" t="s">
        <v>8</v>
      </c>
      <c r="F56" s="12">
        <f t="shared" ca="1" si="0"/>
        <v>46035</v>
      </c>
      <c r="G56" s="11">
        <f ca="1">NETWORKDAYS.INTL(A56,F56,1,'Feriado 2026'!$A$2:$A$14)</f>
        <v>99</v>
      </c>
      <c r="H56" s="11" t="str">
        <f t="shared" ca="1" si="1"/>
        <v>Fora do SLA</v>
      </c>
    </row>
    <row r="57" spans="1:8" x14ac:dyDescent="0.3">
      <c r="A57" s="12">
        <v>45895</v>
      </c>
      <c r="B57" s="11" t="s">
        <v>162</v>
      </c>
      <c r="C57" s="11" t="s">
        <v>163</v>
      </c>
      <c r="D57" s="11" t="s">
        <v>164</v>
      </c>
      <c r="E57" s="11" t="s">
        <v>24</v>
      </c>
      <c r="F57" s="12">
        <f t="shared" ca="1" si="0"/>
        <v>46035</v>
      </c>
      <c r="G57" s="11">
        <f ca="1">NETWORKDAYS.INTL(A57,F57,1,'Feriado 2026'!$A$2:$A$14)</f>
        <v>99</v>
      </c>
      <c r="H57" s="11" t="str">
        <f t="shared" ca="1" si="1"/>
        <v>Fora do SLA</v>
      </c>
    </row>
    <row r="58" spans="1:8" x14ac:dyDescent="0.3">
      <c r="A58" s="12">
        <v>45895</v>
      </c>
      <c r="B58" s="11" t="s">
        <v>165</v>
      </c>
      <c r="C58" s="11" t="s">
        <v>166</v>
      </c>
      <c r="D58" s="11" t="s">
        <v>167</v>
      </c>
      <c r="E58" s="11" t="s">
        <v>8</v>
      </c>
      <c r="F58" s="12">
        <f t="shared" ca="1" si="0"/>
        <v>46035</v>
      </c>
      <c r="G58" s="11">
        <f ca="1">NETWORKDAYS.INTL(A58,F58,1,'Feriado 2026'!$A$2:$A$14)</f>
        <v>99</v>
      </c>
      <c r="H58" s="11" t="str">
        <f t="shared" ca="1" si="1"/>
        <v>Fora do SLA</v>
      </c>
    </row>
    <row r="59" spans="1:8" x14ac:dyDescent="0.3">
      <c r="A59" s="12">
        <v>45895</v>
      </c>
      <c r="B59" s="11" t="s">
        <v>168</v>
      </c>
      <c r="C59" s="11" t="s">
        <v>169</v>
      </c>
      <c r="D59" s="11" t="s">
        <v>170</v>
      </c>
      <c r="E59" s="11" t="s">
        <v>8</v>
      </c>
      <c r="F59" s="12">
        <f t="shared" ca="1" si="0"/>
        <v>46035</v>
      </c>
      <c r="G59" s="11">
        <f ca="1">NETWORKDAYS.INTL(A59,F59,1,'Feriado 2026'!$A$2:$A$14)</f>
        <v>99</v>
      </c>
      <c r="H59" s="11" t="str">
        <f t="shared" ca="1" si="1"/>
        <v>Fora do SLA</v>
      </c>
    </row>
    <row r="60" spans="1:8" x14ac:dyDescent="0.3">
      <c r="A60" s="12">
        <v>45895</v>
      </c>
      <c r="B60" s="11" t="s">
        <v>168</v>
      </c>
      <c r="C60" s="11" t="s">
        <v>171</v>
      </c>
      <c r="D60" s="11" t="s">
        <v>170</v>
      </c>
      <c r="E60" s="11" t="s">
        <v>24</v>
      </c>
      <c r="F60" s="12">
        <f t="shared" ca="1" si="0"/>
        <v>46035</v>
      </c>
      <c r="G60" s="11">
        <f ca="1">NETWORKDAYS.INTL(A60,F60,1,'Feriado 2026'!$A$2:$A$14)</f>
        <v>99</v>
      </c>
      <c r="H60" s="11" t="str">
        <f t="shared" ca="1" si="1"/>
        <v>Fora do SLA</v>
      </c>
    </row>
    <row r="61" spans="1:8" x14ac:dyDescent="0.3">
      <c r="A61" s="12">
        <v>45895</v>
      </c>
      <c r="B61" s="11" t="s">
        <v>172</v>
      </c>
      <c r="C61" s="11" t="s">
        <v>173</v>
      </c>
      <c r="D61" s="11" t="s">
        <v>174</v>
      </c>
      <c r="E61" s="11" t="s">
        <v>24</v>
      </c>
      <c r="F61" s="12">
        <f t="shared" ca="1" si="0"/>
        <v>46035</v>
      </c>
      <c r="G61" s="11">
        <f ca="1">NETWORKDAYS.INTL(A61,F61,1,'Feriado 2026'!$A$2:$A$14)</f>
        <v>99</v>
      </c>
      <c r="H61" s="11" t="str">
        <f t="shared" ca="1" si="1"/>
        <v>Fora do SLA</v>
      </c>
    </row>
    <row r="62" spans="1:8" x14ac:dyDescent="0.3">
      <c r="A62" s="12">
        <v>45896</v>
      </c>
      <c r="B62" s="11" t="s">
        <v>175</v>
      </c>
      <c r="C62" s="11" t="s">
        <v>176</v>
      </c>
      <c r="D62" s="11" t="s">
        <v>177</v>
      </c>
      <c r="E62" s="11" t="s">
        <v>8</v>
      </c>
      <c r="F62" s="12">
        <f t="shared" ca="1" si="0"/>
        <v>46035</v>
      </c>
      <c r="G62" s="11">
        <f ca="1">NETWORKDAYS.INTL(A62,F62,1,'Feriado 2026'!$A$2:$A$14)</f>
        <v>98</v>
      </c>
      <c r="H62" s="11" t="str">
        <f t="shared" ca="1" si="1"/>
        <v>Fora do SLA</v>
      </c>
    </row>
    <row r="63" spans="1:8" x14ac:dyDescent="0.3">
      <c r="A63" s="12">
        <v>45896</v>
      </c>
      <c r="B63" s="11" t="s">
        <v>178</v>
      </c>
      <c r="C63" s="11" t="s">
        <v>179</v>
      </c>
      <c r="D63" s="11" t="s">
        <v>180</v>
      </c>
      <c r="E63" s="11" t="s">
        <v>8</v>
      </c>
      <c r="F63" s="12">
        <f t="shared" ca="1" si="0"/>
        <v>46035</v>
      </c>
      <c r="G63" s="11">
        <f ca="1">NETWORKDAYS.INTL(A63,F63,1,'Feriado 2026'!$A$2:$A$14)</f>
        <v>98</v>
      </c>
      <c r="H63" s="11" t="str">
        <f t="shared" ca="1" si="1"/>
        <v>Fora do SLA</v>
      </c>
    </row>
    <row r="64" spans="1:8" x14ac:dyDescent="0.3">
      <c r="A64" s="12">
        <v>45896</v>
      </c>
      <c r="B64" s="11" t="s">
        <v>181</v>
      </c>
      <c r="C64" s="11" t="s">
        <v>182</v>
      </c>
      <c r="D64" s="11" t="s">
        <v>183</v>
      </c>
      <c r="E64" s="11" t="s">
        <v>8</v>
      </c>
      <c r="F64" s="12">
        <f t="shared" ca="1" si="0"/>
        <v>46035</v>
      </c>
      <c r="G64" s="11">
        <f ca="1">NETWORKDAYS.INTL(A64,F64,1,'Feriado 2026'!$A$2:$A$14)</f>
        <v>98</v>
      </c>
      <c r="H64" s="11" t="str">
        <f t="shared" ca="1" si="1"/>
        <v>Fora do SLA</v>
      </c>
    </row>
    <row r="65" spans="1:8" x14ac:dyDescent="0.3">
      <c r="A65" s="12">
        <v>45896</v>
      </c>
      <c r="B65" s="11" t="s">
        <v>184</v>
      </c>
      <c r="C65" s="11" t="s">
        <v>185</v>
      </c>
      <c r="D65" s="11" t="s">
        <v>186</v>
      </c>
      <c r="E65" s="11" t="s">
        <v>8</v>
      </c>
      <c r="F65" s="12">
        <f t="shared" ca="1" si="0"/>
        <v>46035</v>
      </c>
      <c r="G65" s="11">
        <f ca="1">NETWORKDAYS.INTL(A65,F65,1,'Feriado 2026'!$A$2:$A$14)</f>
        <v>98</v>
      </c>
      <c r="H65" s="11" t="str">
        <f t="shared" ca="1" si="1"/>
        <v>Fora do SLA</v>
      </c>
    </row>
    <row r="66" spans="1:8" x14ac:dyDescent="0.3">
      <c r="A66" s="12">
        <v>45896</v>
      </c>
      <c r="B66" s="11" t="s">
        <v>187</v>
      </c>
      <c r="C66" s="11" t="s">
        <v>188</v>
      </c>
      <c r="D66" s="11" t="s">
        <v>189</v>
      </c>
      <c r="E66" s="11" t="s">
        <v>8</v>
      </c>
      <c r="F66" s="12">
        <f t="shared" ca="1" si="0"/>
        <v>46035</v>
      </c>
      <c r="G66" s="11">
        <f ca="1">NETWORKDAYS.INTL(A66,F66,1,'Feriado 2026'!$A$2:$A$14)</f>
        <v>98</v>
      </c>
      <c r="H66" s="11" t="str">
        <f t="shared" ca="1" si="1"/>
        <v>Fora do SLA</v>
      </c>
    </row>
    <row r="67" spans="1:8" x14ac:dyDescent="0.3">
      <c r="A67" s="12">
        <v>45896</v>
      </c>
      <c r="B67" s="11" t="s">
        <v>190</v>
      </c>
      <c r="C67" s="11" t="s">
        <v>191</v>
      </c>
      <c r="D67" s="11" t="s">
        <v>192</v>
      </c>
      <c r="E67" s="11" t="s">
        <v>8</v>
      </c>
      <c r="F67" s="12">
        <f t="shared" ref="F67:F130" ca="1" si="2">TODAY()</f>
        <v>46035</v>
      </c>
      <c r="G67" s="11">
        <f ca="1">NETWORKDAYS.INTL(A67,F67,1,'Feriado 2026'!$A$2:$A$14)</f>
        <v>98</v>
      </c>
      <c r="H67" s="11" t="str">
        <f t="shared" ref="H67:H130" ca="1" si="3">IF(G67&lt;=2,"Dentro do SLA","Fora do SLA")</f>
        <v>Fora do SLA</v>
      </c>
    </row>
    <row r="68" spans="1:8" x14ac:dyDescent="0.3">
      <c r="A68" s="12">
        <v>45896</v>
      </c>
      <c r="B68" s="11" t="s">
        <v>193</v>
      </c>
      <c r="C68" s="11" t="s">
        <v>194</v>
      </c>
      <c r="D68" s="11" t="s">
        <v>195</v>
      </c>
      <c r="E68" s="11" t="s">
        <v>24</v>
      </c>
      <c r="F68" s="12">
        <f t="shared" ca="1" si="2"/>
        <v>46035</v>
      </c>
      <c r="G68" s="11">
        <f ca="1">NETWORKDAYS.INTL(A68,F68,1,'Feriado 2026'!$A$2:$A$14)</f>
        <v>98</v>
      </c>
      <c r="H68" s="11" t="str">
        <f t="shared" ca="1" si="3"/>
        <v>Fora do SLA</v>
      </c>
    </row>
    <row r="69" spans="1:8" x14ac:dyDescent="0.3">
      <c r="A69" s="12">
        <v>45896</v>
      </c>
      <c r="B69" s="11" t="s">
        <v>196</v>
      </c>
      <c r="C69" s="11" t="s">
        <v>197</v>
      </c>
      <c r="D69" s="11" t="s">
        <v>198</v>
      </c>
      <c r="E69" s="11" t="s">
        <v>8</v>
      </c>
      <c r="F69" s="12">
        <f t="shared" ca="1" si="2"/>
        <v>46035</v>
      </c>
      <c r="G69" s="11">
        <f ca="1">NETWORKDAYS.INTL(A69,F69,1,'Feriado 2026'!$A$2:$A$14)</f>
        <v>98</v>
      </c>
      <c r="H69" s="11" t="str">
        <f t="shared" ca="1" si="3"/>
        <v>Fora do SLA</v>
      </c>
    </row>
    <row r="70" spans="1:8" x14ac:dyDescent="0.3">
      <c r="A70" s="12">
        <v>45897</v>
      </c>
      <c r="B70" s="11" t="s">
        <v>199</v>
      </c>
      <c r="C70" s="11" t="s">
        <v>200</v>
      </c>
      <c r="D70" s="11" t="s">
        <v>201</v>
      </c>
      <c r="E70" s="11" t="s">
        <v>24</v>
      </c>
      <c r="F70" s="12">
        <f t="shared" ca="1" si="2"/>
        <v>46035</v>
      </c>
      <c r="G70" s="11">
        <f ca="1">NETWORKDAYS.INTL(A70,F70,1,'Feriado 2026'!$A$2:$A$14)</f>
        <v>97</v>
      </c>
      <c r="H70" s="11" t="str">
        <f t="shared" ca="1" si="3"/>
        <v>Fora do SLA</v>
      </c>
    </row>
    <row r="71" spans="1:8" x14ac:dyDescent="0.3">
      <c r="A71" s="12">
        <v>45897</v>
      </c>
      <c r="B71" s="11" t="s">
        <v>202</v>
      </c>
      <c r="C71" s="11" t="s">
        <v>203</v>
      </c>
      <c r="D71" s="11" t="s">
        <v>204</v>
      </c>
      <c r="E71" s="11" t="s">
        <v>24</v>
      </c>
      <c r="F71" s="12">
        <f t="shared" ca="1" si="2"/>
        <v>46035</v>
      </c>
      <c r="G71" s="11">
        <f ca="1">NETWORKDAYS.INTL(A71,F71,1,'Feriado 2026'!$A$2:$A$14)</f>
        <v>97</v>
      </c>
      <c r="H71" s="11" t="str">
        <f t="shared" ca="1" si="3"/>
        <v>Fora do SLA</v>
      </c>
    </row>
    <row r="72" spans="1:8" x14ac:dyDescent="0.3">
      <c r="A72" s="12">
        <v>45897</v>
      </c>
      <c r="B72" s="11" t="s">
        <v>205</v>
      </c>
      <c r="C72" s="11" t="s">
        <v>206</v>
      </c>
      <c r="D72" s="11" t="s">
        <v>207</v>
      </c>
      <c r="E72" s="11" t="s">
        <v>24</v>
      </c>
      <c r="F72" s="12">
        <f t="shared" ca="1" si="2"/>
        <v>46035</v>
      </c>
      <c r="G72" s="11">
        <f ca="1">NETWORKDAYS.INTL(A72,F72,1,'Feriado 2026'!$A$2:$A$14)</f>
        <v>97</v>
      </c>
      <c r="H72" s="11" t="str">
        <f t="shared" ca="1" si="3"/>
        <v>Fora do SLA</v>
      </c>
    </row>
    <row r="73" spans="1:8" x14ac:dyDescent="0.3">
      <c r="A73" s="12">
        <v>45895</v>
      </c>
      <c r="B73" s="11" t="s">
        <v>156</v>
      </c>
      <c r="C73" s="11" t="s">
        <v>208</v>
      </c>
      <c r="D73" s="11" t="s">
        <v>158</v>
      </c>
      <c r="E73" s="11" t="s">
        <v>8</v>
      </c>
      <c r="F73" s="12">
        <f t="shared" ca="1" si="2"/>
        <v>46035</v>
      </c>
      <c r="G73" s="11">
        <f ca="1">NETWORKDAYS.INTL(A73,F73,1,'Feriado 2026'!$A$2:$A$14)</f>
        <v>99</v>
      </c>
      <c r="H73" s="11" t="str">
        <f t="shared" ca="1" si="3"/>
        <v>Fora do SLA</v>
      </c>
    </row>
    <row r="74" spans="1:8" x14ac:dyDescent="0.3">
      <c r="A74" s="12">
        <v>45895</v>
      </c>
      <c r="B74" s="11" t="s">
        <v>209</v>
      </c>
      <c r="C74" s="11" t="s">
        <v>210</v>
      </c>
      <c r="D74" s="11" t="s">
        <v>211</v>
      </c>
      <c r="E74" s="11" t="s">
        <v>8</v>
      </c>
      <c r="F74" s="12">
        <f t="shared" ca="1" si="2"/>
        <v>46035</v>
      </c>
      <c r="G74" s="11">
        <f ca="1">NETWORKDAYS.INTL(A74,F74,1,'Feriado 2026'!$A$2:$A$14)</f>
        <v>99</v>
      </c>
      <c r="H74" s="11" t="str">
        <f t="shared" ca="1" si="3"/>
        <v>Fora do SLA</v>
      </c>
    </row>
    <row r="75" spans="1:8" x14ac:dyDescent="0.3">
      <c r="A75" s="12">
        <v>45898</v>
      </c>
      <c r="B75" s="11" t="s">
        <v>212</v>
      </c>
      <c r="C75" s="11" t="s">
        <v>213</v>
      </c>
      <c r="D75" s="11" t="s">
        <v>214</v>
      </c>
      <c r="E75" s="11" t="s">
        <v>8</v>
      </c>
      <c r="F75" s="12">
        <f t="shared" ca="1" si="2"/>
        <v>46035</v>
      </c>
      <c r="G75" s="11">
        <f ca="1">NETWORKDAYS.INTL(A75,F75,1,'Feriado 2026'!$A$2:$A$14)</f>
        <v>96</v>
      </c>
      <c r="H75" s="11" t="str">
        <f t="shared" ca="1" si="3"/>
        <v>Fora do SLA</v>
      </c>
    </row>
    <row r="76" spans="1:8" x14ac:dyDescent="0.3">
      <c r="A76" s="12">
        <v>45903</v>
      </c>
      <c r="B76" s="11" t="s">
        <v>215</v>
      </c>
      <c r="C76" s="11" t="s">
        <v>216</v>
      </c>
      <c r="D76" s="11" t="s">
        <v>217</v>
      </c>
      <c r="E76" s="11" t="s">
        <v>8</v>
      </c>
      <c r="F76" s="12">
        <f t="shared" ca="1" si="2"/>
        <v>46035</v>
      </c>
      <c r="G76" s="11">
        <f ca="1">NETWORKDAYS.INTL(A76,F76,1,'Feriado 2026'!$A$2:$A$14)</f>
        <v>93</v>
      </c>
      <c r="H76" s="11" t="str">
        <f t="shared" ca="1" si="3"/>
        <v>Fora do SLA</v>
      </c>
    </row>
    <row r="77" spans="1:8" x14ac:dyDescent="0.3">
      <c r="A77" s="12">
        <v>45903</v>
      </c>
      <c r="B77" s="11" t="s">
        <v>218</v>
      </c>
      <c r="C77" s="11" t="s">
        <v>219</v>
      </c>
      <c r="D77" s="11" t="s">
        <v>220</v>
      </c>
      <c r="E77" s="11" t="s">
        <v>24</v>
      </c>
      <c r="F77" s="12">
        <f t="shared" ca="1" si="2"/>
        <v>46035</v>
      </c>
      <c r="G77" s="11">
        <f ca="1">NETWORKDAYS.INTL(A77,F77,1,'Feriado 2026'!$A$2:$A$14)</f>
        <v>93</v>
      </c>
      <c r="H77" s="11" t="str">
        <f t="shared" ca="1" si="3"/>
        <v>Fora do SLA</v>
      </c>
    </row>
    <row r="78" spans="1:8" x14ac:dyDescent="0.3">
      <c r="A78" s="12">
        <v>45903</v>
      </c>
      <c r="B78" s="11" t="s">
        <v>221</v>
      </c>
      <c r="C78" s="11" t="s">
        <v>222</v>
      </c>
      <c r="D78" s="11" t="s">
        <v>223</v>
      </c>
      <c r="E78" s="11" t="s">
        <v>8</v>
      </c>
      <c r="F78" s="12">
        <f t="shared" ca="1" si="2"/>
        <v>46035</v>
      </c>
      <c r="G78" s="11">
        <f ca="1">NETWORKDAYS.INTL(A78,F78,1,'Feriado 2026'!$A$2:$A$14)</f>
        <v>93</v>
      </c>
      <c r="H78" s="11" t="str">
        <f t="shared" ca="1" si="3"/>
        <v>Fora do SLA</v>
      </c>
    </row>
    <row r="79" spans="1:8" x14ac:dyDescent="0.3">
      <c r="A79" s="12">
        <v>45904</v>
      </c>
      <c r="B79" s="11" t="s">
        <v>224</v>
      </c>
      <c r="C79" s="11" t="s">
        <v>225</v>
      </c>
      <c r="D79" s="11" t="s">
        <v>226</v>
      </c>
      <c r="E79" s="11" t="s">
        <v>8</v>
      </c>
      <c r="F79" s="12">
        <f t="shared" ca="1" si="2"/>
        <v>46035</v>
      </c>
      <c r="G79" s="11">
        <f ca="1">NETWORKDAYS.INTL(A79,F79,1,'Feriado 2026'!$A$2:$A$14)</f>
        <v>92</v>
      </c>
      <c r="H79" s="11" t="str">
        <f t="shared" ca="1" si="3"/>
        <v>Fora do SLA</v>
      </c>
    </row>
    <row r="80" spans="1:8" x14ac:dyDescent="0.3">
      <c r="A80" s="12">
        <v>45904</v>
      </c>
      <c r="B80" s="11" t="s">
        <v>227</v>
      </c>
      <c r="C80" s="11" t="s">
        <v>228</v>
      </c>
      <c r="D80" s="11" t="s">
        <v>229</v>
      </c>
      <c r="E80" s="11" t="s">
        <v>8</v>
      </c>
      <c r="F80" s="12">
        <f t="shared" ca="1" si="2"/>
        <v>46035</v>
      </c>
      <c r="G80" s="11">
        <f ca="1">NETWORKDAYS.INTL(A80,F80,1,'Feriado 2026'!$A$2:$A$14)</f>
        <v>92</v>
      </c>
      <c r="H80" s="11" t="str">
        <f t="shared" ca="1" si="3"/>
        <v>Fora do SLA</v>
      </c>
    </row>
    <row r="81" spans="1:8" x14ac:dyDescent="0.3">
      <c r="A81" s="12">
        <v>45904</v>
      </c>
      <c r="B81" s="11" t="s">
        <v>230</v>
      </c>
      <c r="C81" s="11" t="s">
        <v>231</v>
      </c>
      <c r="D81" s="11" t="s">
        <v>232</v>
      </c>
      <c r="E81" s="11" t="s">
        <v>24</v>
      </c>
      <c r="F81" s="12">
        <f t="shared" ca="1" si="2"/>
        <v>46035</v>
      </c>
      <c r="G81" s="11">
        <f ca="1">NETWORKDAYS.INTL(A81,F81,1,'Feriado 2026'!$A$2:$A$14)</f>
        <v>92</v>
      </c>
      <c r="H81" s="11" t="str">
        <f t="shared" ca="1" si="3"/>
        <v>Fora do SLA</v>
      </c>
    </row>
    <row r="82" spans="1:8" x14ac:dyDescent="0.3">
      <c r="A82" s="12">
        <v>45904</v>
      </c>
      <c r="B82" s="11" t="s">
        <v>233</v>
      </c>
      <c r="C82" s="11" t="s">
        <v>234</v>
      </c>
      <c r="D82" s="11" t="s">
        <v>235</v>
      </c>
      <c r="E82" s="11" t="s">
        <v>8</v>
      </c>
      <c r="F82" s="12">
        <f t="shared" ca="1" si="2"/>
        <v>46035</v>
      </c>
      <c r="G82" s="11">
        <f ca="1">NETWORKDAYS.INTL(A82,F82,1,'Feriado 2026'!$A$2:$A$14)</f>
        <v>92</v>
      </c>
      <c r="H82" s="11" t="str">
        <f t="shared" ca="1" si="3"/>
        <v>Fora do SLA</v>
      </c>
    </row>
    <row r="83" spans="1:8" x14ac:dyDescent="0.3">
      <c r="A83" s="12">
        <v>45904</v>
      </c>
      <c r="B83" s="11" t="s">
        <v>236</v>
      </c>
      <c r="C83" s="11" t="s">
        <v>237</v>
      </c>
      <c r="D83" s="11" t="s">
        <v>238</v>
      </c>
      <c r="E83" s="11" t="s">
        <v>24</v>
      </c>
      <c r="F83" s="12">
        <f t="shared" ca="1" si="2"/>
        <v>46035</v>
      </c>
      <c r="G83" s="11">
        <f ca="1">NETWORKDAYS.INTL(A83,F83,1,'Feriado 2026'!$A$2:$A$14)</f>
        <v>92</v>
      </c>
      <c r="H83" s="11" t="str">
        <f t="shared" ca="1" si="3"/>
        <v>Fora do SLA</v>
      </c>
    </row>
    <row r="84" spans="1:8" x14ac:dyDescent="0.3">
      <c r="A84" s="12">
        <v>45904</v>
      </c>
      <c r="B84" s="11" t="s">
        <v>239</v>
      </c>
      <c r="C84" s="11" t="s">
        <v>240</v>
      </c>
      <c r="D84" s="11" t="s">
        <v>241</v>
      </c>
      <c r="E84" s="11" t="s">
        <v>8</v>
      </c>
      <c r="F84" s="12">
        <f t="shared" ca="1" si="2"/>
        <v>46035</v>
      </c>
      <c r="G84" s="11">
        <f ca="1">NETWORKDAYS.INTL(A84,F84,1,'Feriado 2026'!$A$2:$A$14)</f>
        <v>92</v>
      </c>
      <c r="H84" s="11" t="str">
        <f t="shared" ca="1" si="3"/>
        <v>Fora do SLA</v>
      </c>
    </row>
    <row r="85" spans="1:8" x14ac:dyDescent="0.3">
      <c r="A85" s="12">
        <v>45905</v>
      </c>
      <c r="B85" s="11" t="s">
        <v>242</v>
      </c>
      <c r="C85" s="11" t="s">
        <v>243</v>
      </c>
      <c r="D85" s="11" t="s">
        <v>244</v>
      </c>
      <c r="E85" s="11" t="s">
        <v>24</v>
      </c>
      <c r="F85" s="12">
        <f t="shared" ca="1" si="2"/>
        <v>46035</v>
      </c>
      <c r="G85" s="11">
        <f ca="1">NETWORKDAYS.INTL(A85,F85,1,'Feriado 2026'!$A$2:$A$14)</f>
        <v>91</v>
      </c>
      <c r="H85" s="11" t="str">
        <f t="shared" ca="1" si="3"/>
        <v>Fora do SLA</v>
      </c>
    </row>
    <row r="86" spans="1:8" x14ac:dyDescent="0.3">
      <c r="A86" s="12">
        <v>45905</v>
      </c>
      <c r="B86" s="11" t="s">
        <v>245</v>
      </c>
      <c r="C86" s="11" t="s">
        <v>246</v>
      </c>
      <c r="D86" s="11" t="s">
        <v>247</v>
      </c>
      <c r="E86" s="11" t="s">
        <v>24</v>
      </c>
      <c r="F86" s="12">
        <f t="shared" ca="1" si="2"/>
        <v>46035</v>
      </c>
      <c r="G86" s="11">
        <f ca="1">NETWORKDAYS.INTL(A86,F86,1,'Feriado 2026'!$A$2:$A$14)</f>
        <v>91</v>
      </c>
      <c r="H86" s="11" t="str">
        <f t="shared" ca="1" si="3"/>
        <v>Fora do SLA</v>
      </c>
    </row>
    <row r="87" spans="1:8" x14ac:dyDescent="0.3">
      <c r="A87" s="12">
        <v>45905</v>
      </c>
      <c r="B87" s="11" t="s">
        <v>248</v>
      </c>
      <c r="C87" s="11" t="s">
        <v>249</v>
      </c>
      <c r="D87" s="11" t="s">
        <v>250</v>
      </c>
      <c r="E87" s="11" t="s">
        <v>8</v>
      </c>
      <c r="F87" s="12">
        <f t="shared" ca="1" si="2"/>
        <v>46035</v>
      </c>
      <c r="G87" s="11">
        <f ca="1">NETWORKDAYS.INTL(A87,F87,1,'Feriado 2026'!$A$2:$A$14)</f>
        <v>91</v>
      </c>
      <c r="H87" s="11" t="str">
        <f t="shared" ca="1" si="3"/>
        <v>Fora do SLA</v>
      </c>
    </row>
    <row r="88" spans="1:8" x14ac:dyDescent="0.3">
      <c r="A88" s="12">
        <v>45905</v>
      </c>
      <c r="B88" s="11" t="s">
        <v>251</v>
      </c>
      <c r="C88" s="11" t="s">
        <v>252</v>
      </c>
      <c r="D88" s="11" t="s">
        <v>253</v>
      </c>
      <c r="E88" s="11" t="s">
        <v>8</v>
      </c>
      <c r="F88" s="12">
        <f t="shared" ca="1" si="2"/>
        <v>46035</v>
      </c>
      <c r="G88" s="11">
        <f ca="1">NETWORKDAYS.INTL(A88,F88,1,'Feriado 2026'!$A$2:$A$14)</f>
        <v>91</v>
      </c>
      <c r="H88" s="11" t="str">
        <f t="shared" ca="1" si="3"/>
        <v>Fora do SLA</v>
      </c>
    </row>
    <row r="89" spans="1:8" x14ac:dyDescent="0.3">
      <c r="A89" s="12">
        <v>45905</v>
      </c>
      <c r="B89" s="11" t="s">
        <v>254</v>
      </c>
      <c r="C89" s="11" t="s">
        <v>255</v>
      </c>
      <c r="D89" s="11" t="s">
        <v>256</v>
      </c>
      <c r="E89" s="11" t="s">
        <v>24</v>
      </c>
      <c r="F89" s="12">
        <f t="shared" ca="1" si="2"/>
        <v>46035</v>
      </c>
      <c r="G89" s="11">
        <f ca="1">NETWORKDAYS.INTL(A89,F89,1,'Feriado 2026'!$A$2:$A$14)</f>
        <v>91</v>
      </c>
      <c r="H89" s="11" t="str">
        <f t="shared" ca="1" si="3"/>
        <v>Fora do SLA</v>
      </c>
    </row>
    <row r="90" spans="1:8" x14ac:dyDescent="0.3">
      <c r="A90" s="12">
        <v>45905</v>
      </c>
      <c r="B90" s="11" t="s">
        <v>257</v>
      </c>
      <c r="C90" s="11" t="s">
        <v>258</v>
      </c>
      <c r="D90" s="11" t="s">
        <v>259</v>
      </c>
      <c r="E90" s="11" t="s">
        <v>24</v>
      </c>
      <c r="F90" s="12">
        <f t="shared" ca="1" si="2"/>
        <v>46035</v>
      </c>
      <c r="G90" s="11">
        <f ca="1">NETWORKDAYS.INTL(A90,F90,1,'Feriado 2026'!$A$2:$A$14)</f>
        <v>91</v>
      </c>
      <c r="H90" s="11" t="str">
        <f t="shared" ca="1" si="3"/>
        <v>Fora do SLA</v>
      </c>
    </row>
    <row r="91" spans="1:8" x14ac:dyDescent="0.3">
      <c r="A91" s="12">
        <v>45905</v>
      </c>
      <c r="B91" s="11" t="s">
        <v>260</v>
      </c>
      <c r="C91" s="11" t="s">
        <v>261</v>
      </c>
      <c r="D91" s="11" t="s">
        <v>262</v>
      </c>
      <c r="E91" s="11" t="s">
        <v>24</v>
      </c>
      <c r="F91" s="12">
        <f t="shared" ca="1" si="2"/>
        <v>46035</v>
      </c>
      <c r="G91" s="11">
        <f ca="1">NETWORKDAYS.INTL(A91,F91,1,'Feriado 2026'!$A$2:$A$14)</f>
        <v>91</v>
      </c>
      <c r="H91" s="11" t="str">
        <f t="shared" ca="1" si="3"/>
        <v>Fora do SLA</v>
      </c>
    </row>
    <row r="92" spans="1:8" x14ac:dyDescent="0.3">
      <c r="A92" s="12">
        <v>45905</v>
      </c>
      <c r="B92" s="11" t="s">
        <v>263</v>
      </c>
      <c r="C92" s="11" t="s">
        <v>264</v>
      </c>
      <c r="D92" s="11" t="s">
        <v>265</v>
      </c>
      <c r="E92" s="11" t="s">
        <v>8</v>
      </c>
      <c r="F92" s="12">
        <f t="shared" ca="1" si="2"/>
        <v>46035</v>
      </c>
      <c r="G92" s="11">
        <f ca="1">NETWORKDAYS.INTL(A92,F92,1,'Feriado 2026'!$A$2:$A$14)</f>
        <v>91</v>
      </c>
      <c r="H92" s="11" t="str">
        <f t="shared" ca="1" si="3"/>
        <v>Fora do SLA</v>
      </c>
    </row>
    <row r="93" spans="1:8" x14ac:dyDescent="0.3">
      <c r="A93" s="12">
        <v>45905</v>
      </c>
      <c r="B93" s="11" t="s">
        <v>266</v>
      </c>
      <c r="C93" s="11" t="s">
        <v>267</v>
      </c>
      <c r="D93" s="11" t="s">
        <v>268</v>
      </c>
      <c r="E93" s="11" t="s">
        <v>24</v>
      </c>
      <c r="F93" s="12">
        <f t="shared" ca="1" si="2"/>
        <v>46035</v>
      </c>
      <c r="G93" s="11">
        <f ca="1">NETWORKDAYS.INTL(A93,F93,1,'Feriado 2026'!$A$2:$A$14)</f>
        <v>91</v>
      </c>
      <c r="H93" s="11" t="str">
        <f t="shared" ca="1" si="3"/>
        <v>Fora do SLA</v>
      </c>
    </row>
    <row r="94" spans="1:8" x14ac:dyDescent="0.3">
      <c r="A94" s="12">
        <v>45905</v>
      </c>
      <c r="B94" s="11" t="s">
        <v>269</v>
      </c>
      <c r="C94" s="11" t="s">
        <v>270</v>
      </c>
      <c r="D94" s="11" t="s">
        <v>271</v>
      </c>
      <c r="E94" s="11" t="s">
        <v>8</v>
      </c>
      <c r="F94" s="12">
        <f t="shared" ca="1" si="2"/>
        <v>46035</v>
      </c>
      <c r="G94" s="11">
        <f ca="1">NETWORKDAYS.INTL(A94,F94,1,'Feriado 2026'!$A$2:$A$14)</f>
        <v>91</v>
      </c>
      <c r="H94" s="11" t="str">
        <f t="shared" ca="1" si="3"/>
        <v>Fora do SLA</v>
      </c>
    </row>
    <row r="95" spans="1:8" x14ac:dyDescent="0.3">
      <c r="A95" s="12">
        <v>45905</v>
      </c>
      <c r="B95" s="11" t="s">
        <v>272</v>
      </c>
      <c r="C95" s="11" t="s">
        <v>273</v>
      </c>
      <c r="D95" s="11" t="s">
        <v>274</v>
      </c>
      <c r="E95" s="11" t="s">
        <v>8</v>
      </c>
      <c r="F95" s="12">
        <f t="shared" ca="1" si="2"/>
        <v>46035</v>
      </c>
      <c r="G95" s="11">
        <f ca="1">NETWORKDAYS.INTL(A95,F95,1,'Feriado 2026'!$A$2:$A$14)</f>
        <v>91</v>
      </c>
      <c r="H95" s="11" t="str">
        <f t="shared" ca="1" si="3"/>
        <v>Fora do SLA</v>
      </c>
    </row>
    <row r="96" spans="1:8" x14ac:dyDescent="0.3">
      <c r="A96" s="12">
        <v>45905</v>
      </c>
      <c r="B96" s="11" t="s">
        <v>275</v>
      </c>
      <c r="C96" s="11" t="s">
        <v>276</v>
      </c>
      <c r="D96" s="11" t="s">
        <v>277</v>
      </c>
      <c r="E96" s="11" t="s">
        <v>24</v>
      </c>
      <c r="F96" s="12">
        <f t="shared" ca="1" si="2"/>
        <v>46035</v>
      </c>
      <c r="G96" s="11">
        <f ca="1">NETWORKDAYS.INTL(A96,F96,1,'Feriado 2026'!$A$2:$A$14)</f>
        <v>91</v>
      </c>
      <c r="H96" s="11" t="str">
        <f t="shared" ca="1" si="3"/>
        <v>Fora do SLA</v>
      </c>
    </row>
    <row r="97" spans="1:8" x14ac:dyDescent="0.3">
      <c r="A97" s="12">
        <v>45905</v>
      </c>
      <c r="B97" s="11" t="s">
        <v>278</v>
      </c>
      <c r="C97" s="11" t="s">
        <v>279</v>
      </c>
      <c r="D97" s="11" t="s">
        <v>280</v>
      </c>
      <c r="E97" s="11" t="s">
        <v>8</v>
      </c>
      <c r="F97" s="12">
        <f t="shared" ca="1" si="2"/>
        <v>46035</v>
      </c>
      <c r="G97" s="11">
        <f ca="1">NETWORKDAYS.INTL(A97,F97,1,'Feriado 2026'!$A$2:$A$14)</f>
        <v>91</v>
      </c>
      <c r="H97" s="11" t="str">
        <f t="shared" ca="1" si="3"/>
        <v>Fora do SLA</v>
      </c>
    </row>
    <row r="98" spans="1:8" x14ac:dyDescent="0.3">
      <c r="A98" s="12">
        <v>45908</v>
      </c>
      <c r="B98" s="11" t="s">
        <v>281</v>
      </c>
      <c r="C98" s="11" t="s">
        <v>282</v>
      </c>
      <c r="D98" s="11" t="s">
        <v>283</v>
      </c>
      <c r="E98" s="11" t="s">
        <v>8</v>
      </c>
      <c r="F98" s="12">
        <f t="shared" ca="1" si="2"/>
        <v>46035</v>
      </c>
      <c r="G98" s="11">
        <f ca="1">NETWORKDAYS.INTL(A98,F98,1,'Feriado 2026'!$A$2:$A$14)</f>
        <v>90</v>
      </c>
      <c r="H98" s="11" t="str">
        <f t="shared" ca="1" si="3"/>
        <v>Fora do SLA</v>
      </c>
    </row>
    <row r="99" spans="1:8" x14ac:dyDescent="0.3">
      <c r="A99" s="12">
        <v>45909</v>
      </c>
      <c r="B99" s="11" t="s">
        <v>284</v>
      </c>
      <c r="C99" s="11" t="s">
        <v>285</v>
      </c>
      <c r="D99" s="11" t="s">
        <v>286</v>
      </c>
      <c r="E99" s="11" t="s">
        <v>8</v>
      </c>
      <c r="F99" s="12">
        <f t="shared" ca="1" si="2"/>
        <v>46035</v>
      </c>
      <c r="G99" s="11">
        <f ca="1">NETWORKDAYS.INTL(A99,F99,1,'Feriado 2026'!$A$2:$A$14)</f>
        <v>89</v>
      </c>
      <c r="H99" s="11" t="str">
        <f t="shared" ca="1" si="3"/>
        <v>Fora do SLA</v>
      </c>
    </row>
    <row r="100" spans="1:8" x14ac:dyDescent="0.3">
      <c r="A100" s="12">
        <v>45910</v>
      </c>
      <c r="B100" s="11" t="s">
        <v>287</v>
      </c>
      <c r="C100" s="11" t="s">
        <v>288</v>
      </c>
      <c r="D100" s="11" t="s">
        <v>289</v>
      </c>
      <c r="E100" s="11" t="s">
        <v>24</v>
      </c>
      <c r="F100" s="12">
        <f t="shared" ca="1" si="2"/>
        <v>46035</v>
      </c>
      <c r="G100" s="11">
        <f ca="1">NETWORKDAYS.INTL(A100,F100,1,'Feriado 2026'!$A$2:$A$14)</f>
        <v>88</v>
      </c>
      <c r="H100" s="11" t="str">
        <f t="shared" ca="1" si="3"/>
        <v>Fora do SLA</v>
      </c>
    </row>
    <row r="101" spans="1:8" x14ac:dyDescent="0.3">
      <c r="A101" s="12">
        <v>45911</v>
      </c>
      <c r="B101" s="11" t="s">
        <v>290</v>
      </c>
      <c r="C101" s="11" t="s">
        <v>291</v>
      </c>
      <c r="D101" s="11" t="s">
        <v>292</v>
      </c>
      <c r="E101" s="11" t="s">
        <v>24</v>
      </c>
      <c r="F101" s="12">
        <f t="shared" ca="1" si="2"/>
        <v>46035</v>
      </c>
      <c r="G101" s="11">
        <f ca="1">NETWORKDAYS.INTL(A101,F101,1,'Feriado 2026'!$A$2:$A$14)</f>
        <v>87</v>
      </c>
      <c r="H101" s="11" t="str">
        <f t="shared" ca="1" si="3"/>
        <v>Fora do SLA</v>
      </c>
    </row>
    <row r="102" spans="1:8" x14ac:dyDescent="0.3">
      <c r="A102" s="12">
        <v>45911</v>
      </c>
      <c r="B102" s="11" t="s">
        <v>293</v>
      </c>
      <c r="C102" s="11" t="s">
        <v>294</v>
      </c>
      <c r="D102" s="11" t="s">
        <v>295</v>
      </c>
      <c r="E102" s="11" t="s">
        <v>24</v>
      </c>
      <c r="F102" s="12">
        <f t="shared" ca="1" si="2"/>
        <v>46035</v>
      </c>
      <c r="G102" s="11">
        <f ca="1">NETWORKDAYS.INTL(A102,F102,1,'Feriado 2026'!$A$2:$A$14)</f>
        <v>87</v>
      </c>
      <c r="H102" s="11" t="str">
        <f t="shared" ca="1" si="3"/>
        <v>Fora do SLA</v>
      </c>
    </row>
    <row r="103" spans="1:8" x14ac:dyDescent="0.3">
      <c r="A103" s="12">
        <v>45911</v>
      </c>
      <c r="B103" s="11" t="s">
        <v>296</v>
      </c>
      <c r="C103" s="11" t="s">
        <v>297</v>
      </c>
      <c r="D103" s="11" t="s">
        <v>298</v>
      </c>
      <c r="E103" s="11" t="s">
        <v>24</v>
      </c>
      <c r="F103" s="12">
        <f t="shared" ca="1" si="2"/>
        <v>46035</v>
      </c>
      <c r="G103" s="11">
        <f ca="1">NETWORKDAYS.INTL(A103,F103,1,'Feriado 2026'!$A$2:$A$14)</f>
        <v>87</v>
      </c>
      <c r="H103" s="11" t="str">
        <f t="shared" ca="1" si="3"/>
        <v>Fora do SLA</v>
      </c>
    </row>
    <row r="104" spans="1:8" x14ac:dyDescent="0.3">
      <c r="A104" s="12">
        <v>45911</v>
      </c>
      <c r="B104" s="11" t="s">
        <v>299</v>
      </c>
      <c r="C104" s="11" t="s">
        <v>300</v>
      </c>
      <c r="D104" s="11" t="s">
        <v>301</v>
      </c>
      <c r="E104" s="11" t="s">
        <v>24</v>
      </c>
      <c r="F104" s="12">
        <f t="shared" ca="1" si="2"/>
        <v>46035</v>
      </c>
      <c r="G104" s="11">
        <f ca="1">NETWORKDAYS.INTL(A104,F104,1,'Feriado 2026'!$A$2:$A$14)</f>
        <v>87</v>
      </c>
      <c r="H104" s="11" t="str">
        <f t="shared" ca="1" si="3"/>
        <v>Fora do SLA</v>
      </c>
    </row>
    <row r="105" spans="1:8" x14ac:dyDescent="0.3">
      <c r="A105" s="12">
        <v>45911</v>
      </c>
      <c r="B105" s="11" t="s">
        <v>302</v>
      </c>
      <c r="C105" s="11" t="s">
        <v>303</v>
      </c>
      <c r="D105" s="11" t="s">
        <v>304</v>
      </c>
      <c r="E105" s="11" t="s">
        <v>24</v>
      </c>
      <c r="F105" s="12">
        <f t="shared" ca="1" si="2"/>
        <v>46035</v>
      </c>
      <c r="G105" s="11">
        <f ca="1">NETWORKDAYS.INTL(A105,F105,1,'Feriado 2026'!$A$2:$A$14)</f>
        <v>87</v>
      </c>
      <c r="H105" s="11" t="str">
        <f t="shared" ca="1" si="3"/>
        <v>Fora do SLA</v>
      </c>
    </row>
    <row r="106" spans="1:8" x14ac:dyDescent="0.3">
      <c r="A106" s="12">
        <v>45911</v>
      </c>
      <c r="B106" s="11" t="s">
        <v>305</v>
      </c>
      <c r="C106" s="11" t="s">
        <v>306</v>
      </c>
      <c r="D106" s="11" t="s">
        <v>307</v>
      </c>
      <c r="E106" s="11" t="s">
        <v>24</v>
      </c>
      <c r="F106" s="12">
        <f t="shared" ca="1" si="2"/>
        <v>46035</v>
      </c>
      <c r="G106" s="11">
        <f ca="1">NETWORKDAYS.INTL(A106,F106,1,'Feriado 2026'!$A$2:$A$14)</f>
        <v>87</v>
      </c>
      <c r="H106" s="11" t="str">
        <f t="shared" ca="1" si="3"/>
        <v>Fora do SLA</v>
      </c>
    </row>
    <row r="107" spans="1:8" x14ac:dyDescent="0.3">
      <c r="A107" s="12">
        <v>45911</v>
      </c>
      <c r="B107" s="11" t="s">
        <v>308</v>
      </c>
      <c r="C107" s="11" t="s">
        <v>309</v>
      </c>
      <c r="D107" s="11" t="s">
        <v>310</v>
      </c>
      <c r="E107" s="11" t="s">
        <v>24</v>
      </c>
      <c r="F107" s="12">
        <f t="shared" ca="1" si="2"/>
        <v>46035</v>
      </c>
      <c r="G107" s="11">
        <f ca="1">NETWORKDAYS.INTL(A107,F107,1,'Feriado 2026'!$A$2:$A$14)</f>
        <v>87</v>
      </c>
      <c r="H107" s="11" t="str">
        <f t="shared" ca="1" si="3"/>
        <v>Fora do SLA</v>
      </c>
    </row>
    <row r="108" spans="1:8" x14ac:dyDescent="0.3">
      <c r="A108" s="12">
        <v>45911</v>
      </c>
      <c r="B108" s="11" t="s">
        <v>311</v>
      </c>
      <c r="C108" s="11" t="s">
        <v>312</v>
      </c>
      <c r="D108" s="11" t="s">
        <v>313</v>
      </c>
      <c r="E108" s="11" t="s">
        <v>24</v>
      </c>
      <c r="F108" s="12">
        <f t="shared" ca="1" si="2"/>
        <v>46035</v>
      </c>
      <c r="G108" s="11">
        <f ca="1">NETWORKDAYS.INTL(A108,F108,1,'Feriado 2026'!$A$2:$A$14)</f>
        <v>87</v>
      </c>
      <c r="H108" s="11" t="str">
        <f t="shared" ca="1" si="3"/>
        <v>Fora do SLA</v>
      </c>
    </row>
    <row r="109" spans="1:8" x14ac:dyDescent="0.3">
      <c r="A109" s="12">
        <v>45911</v>
      </c>
      <c r="B109" s="11" t="s">
        <v>314</v>
      </c>
      <c r="C109" s="11" t="s">
        <v>315</v>
      </c>
      <c r="D109" s="11" t="s">
        <v>316</v>
      </c>
      <c r="E109" s="11" t="s">
        <v>24</v>
      </c>
      <c r="F109" s="12">
        <f t="shared" ca="1" si="2"/>
        <v>46035</v>
      </c>
      <c r="G109" s="11">
        <f ca="1">NETWORKDAYS.INTL(A109,F109,1,'Feriado 2026'!$A$2:$A$14)</f>
        <v>87</v>
      </c>
      <c r="H109" s="11" t="str">
        <f t="shared" ca="1" si="3"/>
        <v>Fora do SLA</v>
      </c>
    </row>
    <row r="110" spans="1:8" x14ac:dyDescent="0.3">
      <c r="A110" s="12">
        <v>45911</v>
      </c>
      <c r="B110" s="11" t="s">
        <v>317</v>
      </c>
      <c r="C110" s="11" t="s">
        <v>318</v>
      </c>
      <c r="D110" s="11" t="s">
        <v>319</v>
      </c>
      <c r="E110" s="11" t="s">
        <v>24</v>
      </c>
      <c r="F110" s="12">
        <f t="shared" ca="1" si="2"/>
        <v>46035</v>
      </c>
      <c r="G110" s="11">
        <f ca="1">NETWORKDAYS.INTL(A110,F110,1,'Feriado 2026'!$A$2:$A$14)</f>
        <v>87</v>
      </c>
      <c r="H110" s="11" t="str">
        <f t="shared" ca="1" si="3"/>
        <v>Fora do SLA</v>
      </c>
    </row>
    <row r="111" spans="1:8" x14ac:dyDescent="0.3">
      <c r="A111" s="12">
        <v>45911</v>
      </c>
      <c r="B111" s="11" t="s">
        <v>320</v>
      </c>
      <c r="C111" s="11" t="s">
        <v>321</v>
      </c>
      <c r="D111" s="11" t="s">
        <v>322</v>
      </c>
      <c r="E111" s="11" t="s">
        <v>24</v>
      </c>
      <c r="F111" s="12">
        <f t="shared" ca="1" si="2"/>
        <v>46035</v>
      </c>
      <c r="G111" s="11">
        <f ca="1">NETWORKDAYS.INTL(A111,F111,1,'Feriado 2026'!$A$2:$A$14)</f>
        <v>87</v>
      </c>
      <c r="H111" s="11" t="str">
        <f t="shared" ca="1" si="3"/>
        <v>Fora do SLA</v>
      </c>
    </row>
    <row r="112" spans="1:8" x14ac:dyDescent="0.3">
      <c r="A112" s="12">
        <v>45911</v>
      </c>
      <c r="B112" s="11" t="s">
        <v>323</v>
      </c>
      <c r="C112" s="11" t="s">
        <v>324</v>
      </c>
      <c r="D112" s="11" t="s">
        <v>325</v>
      </c>
      <c r="E112" s="11" t="s">
        <v>24</v>
      </c>
      <c r="F112" s="12">
        <f t="shared" ca="1" si="2"/>
        <v>46035</v>
      </c>
      <c r="G112" s="11">
        <f ca="1">NETWORKDAYS.INTL(A112,F112,1,'Feriado 2026'!$A$2:$A$14)</f>
        <v>87</v>
      </c>
      <c r="H112" s="11" t="str">
        <f t="shared" ca="1" si="3"/>
        <v>Fora do SLA</v>
      </c>
    </row>
    <row r="113" spans="1:8" x14ac:dyDescent="0.3">
      <c r="A113" s="12">
        <v>45911</v>
      </c>
      <c r="B113" s="11" t="s">
        <v>326</v>
      </c>
      <c r="C113" s="11" t="s">
        <v>327</v>
      </c>
      <c r="D113" s="11" t="s">
        <v>328</v>
      </c>
      <c r="E113" s="11" t="s">
        <v>8</v>
      </c>
      <c r="F113" s="12">
        <f t="shared" ca="1" si="2"/>
        <v>46035</v>
      </c>
      <c r="G113" s="11">
        <f ca="1">NETWORKDAYS.INTL(A113,F113,1,'Feriado 2026'!$A$2:$A$14)</f>
        <v>87</v>
      </c>
      <c r="H113" s="11" t="str">
        <f t="shared" ca="1" si="3"/>
        <v>Fora do SLA</v>
      </c>
    </row>
    <row r="114" spans="1:8" x14ac:dyDescent="0.3">
      <c r="A114" s="12">
        <v>45911</v>
      </c>
      <c r="B114" s="11" t="s">
        <v>329</v>
      </c>
      <c r="C114" s="11" t="s">
        <v>330</v>
      </c>
      <c r="D114" s="11" t="s">
        <v>331</v>
      </c>
      <c r="E114" s="11" t="s">
        <v>24</v>
      </c>
      <c r="F114" s="12">
        <f t="shared" ca="1" si="2"/>
        <v>46035</v>
      </c>
      <c r="G114" s="11">
        <f ca="1">NETWORKDAYS.INTL(A114,F114,1,'Feriado 2026'!$A$2:$A$14)</f>
        <v>87</v>
      </c>
      <c r="H114" s="11" t="str">
        <f t="shared" ca="1" si="3"/>
        <v>Fora do SLA</v>
      </c>
    </row>
    <row r="115" spans="1:8" x14ac:dyDescent="0.3">
      <c r="A115" s="12">
        <v>45911</v>
      </c>
      <c r="B115" s="11" t="s">
        <v>332</v>
      </c>
      <c r="C115" s="11" t="s">
        <v>333</v>
      </c>
      <c r="D115" s="11" t="s">
        <v>334</v>
      </c>
      <c r="E115" s="11" t="s">
        <v>8</v>
      </c>
      <c r="F115" s="12">
        <f t="shared" ca="1" si="2"/>
        <v>46035</v>
      </c>
      <c r="G115" s="11">
        <f ca="1">NETWORKDAYS.INTL(A115,F115,1,'Feriado 2026'!$A$2:$A$14)</f>
        <v>87</v>
      </c>
      <c r="H115" s="11" t="str">
        <f t="shared" ca="1" si="3"/>
        <v>Fora do SLA</v>
      </c>
    </row>
    <row r="116" spans="1:8" x14ac:dyDescent="0.3">
      <c r="A116" s="12">
        <v>45911</v>
      </c>
      <c r="B116" s="11" t="s">
        <v>335</v>
      </c>
      <c r="C116" s="11" t="s">
        <v>336</v>
      </c>
      <c r="D116" s="11" t="s">
        <v>337</v>
      </c>
      <c r="E116" s="11" t="s">
        <v>24</v>
      </c>
      <c r="F116" s="12">
        <f t="shared" ca="1" si="2"/>
        <v>46035</v>
      </c>
      <c r="G116" s="11">
        <f ca="1">NETWORKDAYS.INTL(A116,F116,1,'Feriado 2026'!$A$2:$A$14)</f>
        <v>87</v>
      </c>
      <c r="H116" s="11" t="str">
        <f t="shared" ca="1" si="3"/>
        <v>Fora do SLA</v>
      </c>
    </row>
    <row r="117" spans="1:8" x14ac:dyDescent="0.3">
      <c r="A117" s="12">
        <v>45912</v>
      </c>
      <c r="B117" s="11" t="s">
        <v>338</v>
      </c>
      <c r="C117" s="11" t="s">
        <v>339</v>
      </c>
      <c r="D117" s="11" t="s">
        <v>340</v>
      </c>
      <c r="E117" s="11" t="s">
        <v>8</v>
      </c>
      <c r="F117" s="12">
        <f t="shared" ca="1" si="2"/>
        <v>46035</v>
      </c>
      <c r="G117" s="11">
        <f ca="1">NETWORKDAYS.INTL(A117,F117,1,'Feriado 2026'!$A$2:$A$14)</f>
        <v>86</v>
      </c>
      <c r="H117" s="11" t="str">
        <f t="shared" ca="1" si="3"/>
        <v>Fora do SLA</v>
      </c>
    </row>
    <row r="118" spans="1:8" x14ac:dyDescent="0.3">
      <c r="A118" s="12">
        <v>45912</v>
      </c>
      <c r="B118" s="11" t="s">
        <v>341</v>
      </c>
      <c r="C118" s="11" t="s">
        <v>342</v>
      </c>
      <c r="D118" s="11" t="s">
        <v>343</v>
      </c>
      <c r="E118" s="11" t="s">
        <v>8</v>
      </c>
      <c r="F118" s="12">
        <f t="shared" ca="1" si="2"/>
        <v>46035</v>
      </c>
      <c r="G118" s="11">
        <f ca="1">NETWORKDAYS.INTL(A118,F118,1,'Feriado 2026'!$A$2:$A$14)</f>
        <v>86</v>
      </c>
      <c r="H118" s="11" t="str">
        <f t="shared" ca="1" si="3"/>
        <v>Fora do SLA</v>
      </c>
    </row>
    <row r="119" spans="1:8" x14ac:dyDescent="0.3">
      <c r="A119" s="12">
        <v>45912</v>
      </c>
      <c r="B119" s="11" t="s">
        <v>344</v>
      </c>
      <c r="C119" s="11" t="s">
        <v>345</v>
      </c>
      <c r="D119" s="11" t="s">
        <v>346</v>
      </c>
      <c r="E119" s="11" t="s">
        <v>8</v>
      </c>
      <c r="F119" s="12">
        <f t="shared" ca="1" si="2"/>
        <v>46035</v>
      </c>
      <c r="G119" s="11">
        <f ca="1">NETWORKDAYS.INTL(A119,F119,1,'Feriado 2026'!$A$2:$A$14)</f>
        <v>86</v>
      </c>
      <c r="H119" s="11" t="str">
        <f t="shared" ca="1" si="3"/>
        <v>Fora do SLA</v>
      </c>
    </row>
    <row r="120" spans="1:8" x14ac:dyDescent="0.3">
      <c r="A120" s="12">
        <v>45912</v>
      </c>
      <c r="B120" s="11" t="s">
        <v>347</v>
      </c>
      <c r="C120" s="11" t="s">
        <v>348</v>
      </c>
      <c r="D120" s="11" t="s">
        <v>349</v>
      </c>
      <c r="E120" s="11" t="s">
        <v>24</v>
      </c>
      <c r="F120" s="12">
        <f t="shared" ca="1" si="2"/>
        <v>46035</v>
      </c>
      <c r="G120" s="11">
        <f ca="1">NETWORKDAYS.INTL(A120,F120,1,'Feriado 2026'!$A$2:$A$14)</f>
        <v>86</v>
      </c>
      <c r="H120" s="11" t="str">
        <f t="shared" ca="1" si="3"/>
        <v>Fora do SLA</v>
      </c>
    </row>
    <row r="121" spans="1:8" x14ac:dyDescent="0.3">
      <c r="A121" s="12">
        <v>45912</v>
      </c>
      <c r="B121" s="11" t="s">
        <v>350</v>
      </c>
      <c r="C121" s="11" t="s">
        <v>351</v>
      </c>
      <c r="D121" s="11" t="s">
        <v>352</v>
      </c>
      <c r="E121" s="11" t="s">
        <v>24</v>
      </c>
      <c r="F121" s="12">
        <f t="shared" ca="1" si="2"/>
        <v>46035</v>
      </c>
      <c r="G121" s="11">
        <f ca="1">NETWORKDAYS.INTL(A121,F121,1,'Feriado 2026'!$A$2:$A$14)</f>
        <v>86</v>
      </c>
      <c r="H121" s="11" t="str">
        <f t="shared" ca="1" si="3"/>
        <v>Fora do SLA</v>
      </c>
    </row>
    <row r="122" spans="1:8" x14ac:dyDescent="0.3">
      <c r="A122" s="12">
        <v>45912</v>
      </c>
      <c r="B122" s="11" t="s">
        <v>353</v>
      </c>
      <c r="C122" s="11" t="s">
        <v>354</v>
      </c>
      <c r="D122" s="11" t="s">
        <v>355</v>
      </c>
      <c r="E122" s="11" t="s">
        <v>24</v>
      </c>
      <c r="F122" s="12">
        <f t="shared" ca="1" si="2"/>
        <v>46035</v>
      </c>
      <c r="G122" s="11">
        <f ca="1">NETWORKDAYS.INTL(A122,F122,1,'Feriado 2026'!$A$2:$A$14)</f>
        <v>86</v>
      </c>
      <c r="H122" s="11" t="str">
        <f t="shared" ca="1" si="3"/>
        <v>Fora do SLA</v>
      </c>
    </row>
    <row r="123" spans="1:8" x14ac:dyDescent="0.3">
      <c r="A123" s="12">
        <v>45915</v>
      </c>
      <c r="B123" s="11" t="s">
        <v>356</v>
      </c>
      <c r="C123" s="11" t="s">
        <v>357</v>
      </c>
      <c r="D123" s="11" t="s">
        <v>358</v>
      </c>
      <c r="E123" s="11" t="s">
        <v>8</v>
      </c>
      <c r="F123" s="12">
        <f t="shared" ca="1" si="2"/>
        <v>46035</v>
      </c>
      <c r="G123" s="11">
        <f ca="1">NETWORKDAYS.INTL(A123,F123,1,'Feriado 2026'!$A$2:$A$14)</f>
        <v>85</v>
      </c>
      <c r="H123" s="11" t="str">
        <f t="shared" ca="1" si="3"/>
        <v>Fora do SLA</v>
      </c>
    </row>
    <row r="124" spans="1:8" x14ac:dyDescent="0.3">
      <c r="A124" s="12">
        <v>45915</v>
      </c>
      <c r="B124" s="11" t="s">
        <v>359</v>
      </c>
      <c r="C124" s="11" t="s">
        <v>360</v>
      </c>
      <c r="D124" s="11" t="s">
        <v>361</v>
      </c>
      <c r="E124" s="11" t="s">
        <v>24</v>
      </c>
      <c r="F124" s="12">
        <f t="shared" ca="1" si="2"/>
        <v>46035</v>
      </c>
      <c r="G124" s="11">
        <f ca="1">NETWORKDAYS.INTL(A124,F124,1,'Feriado 2026'!$A$2:$A$14)</f>
        <v>85</v>
      </c>
      <c r="H124" s="11" t="str">
        <f t="shared" ca="1" si="3"/>
        <v>Fora do SLA</v>
      </c>
    </row>
    <row r="125" spans="1:8" x14ac:dyDescent="0.3">
      <c r="A125" s="12">
        <v>45915</v>
      </c>
      <c r="B125" s="11" t="s">
        <v>362</v>
      </c>
      <c r="C125" s="11" t="s">
        <v>363</v>
      </c>
      <c r="D125" s="11" t="s">
        <v>364</v>
      </c>
      <c r="E125" s="11" t="s">
        <v>8</v>
      </c>
      <c r="F125" s="12">
        <f t="shared" ca="1" si="2"/>
        <v>46035</v>
      </c>
      <c r="G125" s="11">
        <f ca="1">NETWORKDAYS.INTL(A125,F125,1,'Feriado 2026'!$A$2:$A$14)</f>
        <v>85</v>
      </c>
      <c r="H125" s="11" t="str">
        <f t="shared" ca="1" si="3"/>
        <v>Fora do SLA</v>
      </c>
    </row>
    <row r="126" spans="1:8" x14ac:dyDescent="0.3">
      <c r="A126" s="12">
        <v>45915</v>
      </c>
      <c r="B126" s="11" t="s">
        <v>365</v>
      </c>
      <c r="C126" s="11" t="s">
        <v>366</v>
      </c>
      <c r="D126" s="11" t="s">
        <v>367</v>
      </c>
      <c r="E126" s="11" t="s">
        <v>24</v>
      </c>
      <c r="F126" s="12">
        <f t="shared" ca="1" si="2"/>
        <v>46035</v>
      </c>
      <c r="G126" s="11">
        <f ca="1">NETWORKDAYS.INTL(A126,F126,1,'Feriado 2026'!$A$2:$A$14)</f>
        <v>85</v>
      </c>
      <c r="H126" s="11" t="str">
        <f t="shared" ca="1" si="3"/>
        <v>Fora do SLA</v>
      </c>
    </row>
    <row r="127" spans="1:8" x14ac:dyDescent="0.3">
      <c r="A127" s="12">
        <v>45915</v>
      </c>
      <c r="B127" s="11" t="s">
        <v>368</v>
      </c>
      <c r="C127" s="11" t="s">
        <v>369</v>
      </c>
      <c r="D127" s="11" t="s">
        <v>370</v>
      </c>
      <c r="E127" s="11" t="s">
        <v>24</v>
      </c>
      <c r="F127" s="12">
        <f t="shared" ca="1" si="2"/>
        <v>46035</v>
      </c>
      <c r="G127" s="11">
        <f ca="1">NETWORKDAYS.INTL(A127,F127,1,'Feriado 2026'!$A$2:$A$14)</f>
        <v>85</v>
      </c>
      <c r="H127" s="11" t="str">
        <f t="shared" ca="1" si="3"/>
        <v>Fora do SLA</v>
      </c>
    </row>
    <row r="128" spans="1:8" x14ac:dyDescent="0.3">
      <c r="A128" s="12">
        <v>45915</v>
      </c>
      <c r="B128" s="11" t="s">
        <v>371</v>
      </c>
      <c r="C128" s="11" t="s">
        <v>372</v>
      </c>
      <c r="D128" s="11" t="s">
        <v>373</v>
      </c>
      <c r="E128" s="11" t="s">
        <v>8</v>
      </c>
      <c r="F128" s="12">
        <f t="shared" ca="1" si="2"/>
        <v>46035</v>
      </c>
      <c r="G128" s="11">
        <f ca="1">NETWORKDAYS.INTL(A128,F128,1,'Feriado 2026'!$A$2:$A$14)</f>
        <v>85</v>
      </c>
      <c r="H128" s="11" t="str">
        <f t="shared" ca="1" si="3"/>
        <v>Fora do SLA</v>
      </c>
    </row>
    <row r="129" spans="1:8" x14ac:dyDescent="0.3">
      <c r="A129" s="12">
        <v>45916</v>
      </c>
      <c r="B129" s="11" t="s">
        <v>374</v>
      </c>
      <c r="C129" s="11" t="s">
        <v>375</v>
      </c>
      <c r="D129" s="11" t="s">
        <v>376</v>
      </c>
      <c r="E129" s="11" t="s">
        <v>8</v>
      </c>
      <c r="F129" s="12">
        <f t="shared" ca="1" si="2"/>
        <v>46035</v>
      </c>
      <c r="G129" s="11">
        <f ca="1">NETWORKDAYS.INTL(A129,F129,1,'Feriado 2026'!$A$2:$A$14)</f>
        <v>84</v>
      </c>
      <c r="H129" s="11" t="str">
        <f t="shared" ca="1" si="3"/>
        <v>Fora do SLA</v>
      </c>
    </row>
    <row r="130" spans="1:8" x14ac:dyDescent="0.3">
      <c r="A130" s="12">
        <v>45917</v>
      </c>
      <c r="B130" s="11" t="s">
        <v>377</v>
      </c>
      <c r="C130" s="11" t="s">
        <v>378</v>
      </c>
      <c r="D130" s="11" t="s">
        <v>379</v>
      </c>
      <c r="E130" s="11" t="s">
        <v>24</v>
      </c>
      <c r="F130" s="12">
        <f t="shared" ca="1" si="2"/>
        <v>46035</v>
      </c>
      <c r="G130" s="11">
        <f ca="1">NETWORKDAYS.INTL(A130,F130,1,'Feriado 2026'!$A$2:$A$14)</f>
        <v>83</v>
      </c>
      <c r="H130" s="11" t="str">
        <f t="shared" ca="1" si="3"/>
        <v>Fora do SLA</v>
      </c>
    </row>
    <row r="131" spans="1:8" x14ac:dyDescent="0.3">
      <c r="A131" s="12">
        <v>45917</v>
      </c>
      <c r="B131" s="11" t="s">
        <v>380</v>
      </c>
      <c r="C131" s="11" t="s">
        <v>381</v>
      </c>
      <c r="D131" s="11" t="s">
        <v>382</v>
      </c>
      <c r="E131" s="11" t="s">
        <v>8</v>
      </c>
      <c r="F131" s="12">
        <f t="shared" ref="F131:F194" ca="1" si="4">TODAY()</f>
        <v>46035</v>
      </c>
      <c r="G131" s="11">
        <f ca="1">NETWORKDAYS.INTL(A131,F131,1,'Feriado 2026'!$A$2:$A$14)</f>
        <v>83</v>
      </c>
      <c r="H131" s="11" t="str">
        <f t="shared" ref="H131:H194" ca="1" si="5">IF(G131&lt;=2,"Dentro do SLA","Fora do SLA")</f>
        <v>Fora do SLA</v>
      </c>
    </row>
    <row r="132" spans="1:8" x14ac:dyDescent="0.3">
      <c r="A132" s="12">
        <v>45917</v>
      </c>
      <c r="B132" s="11" t="s">
        <v>383</v>
      </c>
      <c r="C132" s="11" t="s">
        <v>384</v>
      </c>
      <c r="D132" s="11" t="s">
        <v>385</v>
      </c>
      <c r="E132" s="11" t="s">
        <v>24</v>
      </c>
      <c r="F132" s="12">
        <f t="shared" ca="1" si="4"/>
        <v>46035</v>
      </c>
      <c r="G132" s="11">
        <f ca="1">NETWORKDAYS.INTL(A132,F132,1,'Feriado 2026'!$A$2:$A$14)</f>
        <v>83</v>
      </c>
      <c r="H132" s="11" t="str">
        <f t="shared" ca="1" si="5"/>
        <v>Fora do SLA</v>
      </c>
    </row>
    <row r="133" spans="1:8" x14ac:dyDescent="0.3">
      <c r="A133" s="12">
        <v>45917</v>
      </c>
      <c r="B133" s="11" t="s">
        <v>386</v>
      </c>
      <c r="C133" s="11" t="s">
        <v>387</v>
      </c>
      <c r="D133" s="11" t="s">
        <v>388</v>
      </c>
      <c r="E133" s="11" t="s">
        <v>24</v>
      </c>
      <c r="F133" s="12">
        <f t="shared" ca="1" si="4"/>
        <v>46035</v>
      </c>
      <c r="G133" s="11">
        <f ca="1">NETWORKDAYS.INTL(A133,F133,1,'Feriado 2026'!$A$2:$A$14)</f>
        <v>83</v>
      </c>
      <c r="H133" s="11" t="str">
        <f t="shared" ca="1" si="5"/>
        <v>Fora do SLA</v>
      </c>
    </row>
    <row r="134" spans="1:8" x14ac:dyDescent="0.3">
      <c r="A134" s="12">
        <v>45918</v>
      </c>
      <c r="B134" s="11" t="s">
        <v>389</v>
      </c>
      <c r="C134" s="11" t="s">
        <v>390</v>
      </c>
      <c r="D134" s="11" t="s">
        <v>391</v>
      </c>
      <c r="E134" s="11" t="s">
        <v>8</v>
      </c>
      <c r="F134" s="12">
        <f t="shared" ca="1" si="4"/>
        <v>46035</v>
      </c>
      <c r="G134" s="11">
        <f ca="1">NETWORKDAYS.INTL(A134,F134,1,'Feriado 2026'!$A$2:$A$14)</f>
        <v>82</v>
      </c>
      <c r="H134" s="11" t="str">
        <f t="shared" ca="1" si="5"/>
        <v>Fora do SLA</v>
      </c>
    </row>
    <row r="135" spans="1:8" x14ac:dyDescent="0.3">
      <c r="A135" s="12">
        <v>45918</v>
      </c>
      <c r="B135" s="11" t="s">
        <v>392</v>
      </c>
      <c r="C135" s="11" t="s">
        <v>393</v>
      </c>
      <c r="D135" s="11" t="s">
        <v>394</v>
      </c>
      <c r="E135" s="11" t="s">
        <v>8</v>
      </c>
      <c r="F135" s="12">
        <f t="shared" ca="1" si="4"/>
        <v>46035</v>
      </c>
      <c r="G135" s="11">
        <f ca="1">NETWORKDAYS.INTL(A135,F135,1,'Feriado 2026'!$A$2:$A$14)</f>
        <v>82</v>
      </c>
      <c r="H135" s="11" t="str">
        <f t="shared" ca="1" si="5"/>
        <v>Fora do SLA</v>
      </c>
    </row>
    <row r="136" spans="1:8" x14ac:dyDescent="0.3">
      <c r="A136" s="12">
        <v>45918</v>
      </c>
      <c r="B136" s="11" t="s">
        <v>395</v>
      </c>
      <c r="C136" s="11" t="s">
        <v>396</v>
      </c>
      <c r="D136" s="11" t="s">
        <v>397</v>
      </c>
      <c r="E136" s="11" t="s">
        <v>24</v>
      </c>
      <c r="F136" s="12">
        <f t="shared" ca="1" si="4"/>
        <v>46035</v>
      </c>
      <c r="G136" s="11">
        <f ca="1">NETWORKDAYS.INTL(A136,F136,1,'Feriado 2026'!$A$2:$A$14)</f>
        <v>82</v>
      </c>
      <c r="H136" s="11" t="str">
        <f t="shared" ca="1" si="5"/>
        <v>Fora do SLA</v>
      </c>
    </row>
    <row r="137" spans="1:8" x14ac:dyDescent="0.3">
      <c r="A137" s="12">
        <v>45918</v>
      </c>
      <c r="B137" s="11" t="s">
        <v>398</v>
      </c>
      <c r="C137" s="11" t="s">
        <v>399</v>
      </c>
      <c r="D137" s="11" t="s">
        <v>400</v>
      </c>
      <c r="E137" s="11" t="s">
        <v>8</v>
      </c>
      <c r="F137" s="12">
        <f t="shared" ca="1" si="4"/>
        <v>46035</v>
      </c>
      <c r="G137" s="11">
        <f ca="1">NETWORKDAYS.INTL(A137,F137,1,'Feriado 2026'!$A$2:$A$14)</f>
        <v>82</v>
      </c>
      <c r="H137" s="11" t="str">
        <f t="shared" ca="1" si="5"/>
        <v>Fora do SLA</v>
      </c>
    </row>
    <row r="138" spans="1:8" x14ac:dyDescent="0.3">
      <c r="A138" s="12">
        <v>45918</v>
      </c>
      <c r="B138" s="11" t="s">
        <v>401</v>
      </c>
      <c r="C138" s="11" t="s">
        <v>402</v>
      </c>
      <c r="D138" s="11" t="s">
        <v>403</v>
      </c>
      <c r="E138" s="11" t="s">
        <v>8</v>
      </c>
      <c r="F138" s="12">
        <f t="shared" ca="1" si="4"/>
        <v>46035</v>
      </c>
      <c r="G138" s="11">
        <f ca="1">NETWORKDAYS.INTL(A138,F138,1,'Feriado 2026'!$A$2:$A$14)</f>
        <v>82</v>
      </c>
      <c r="H138" s="11" t="str">
        <f t="shared" ca="1" si="5"/>
        <v>Fora do SLA</v>
      </c>
    </row>
    <row r="139" spans="1:8" x14ac:dyDescent="0.3">
      <c r="A139" s="12">
        <v>45918</v>
      </c>
      <c r="B139" s="11" t="s">
        <v>404</v>
      </c>
      <c r="C139" s="11" t="s">
        <v>405</v>
      </c>
      <c r="D139" s="11" t="s">
        <v>406</v>
      </c>
      <c r="E139" s="11" t="s">
        <v>8</v>
      </c>
      <c r="F139" s="12">
        <f t="shared" ca="1" si="4"/>
        <v>46035</v>
      </c>
      <c r="G139" s="11">
        <f ca="1">NETWORKDAYS.INTL(A139,F139,1,'Feriado 2026'!$A$2:$A$14)</f>
        <v>82</v>
      </c>
      <c r="H139" s="11" t="str">
        <f t="shared" ca="1" si="5"/>
        <v>Fora do SLA</v>
      </c>
    </row>
    <row r="140" spans="1:8" x14ac:dyDescent="0.3">
      <c r="A140" s="12">
        <v>45919</v>
      </c>
      <c r="B140" s="11" t="s">
        <v>407</v>
      </c>
      <c r="C140" s="11" t="s">
        <v>408</v>
      </c>
      <c r="D140" s="11" t="s">
        <v>409</v>
      </c>
      <c r="E140" s="11" t="s">
        <v>24</v>
      </c>
      <c r="F140" s="12">
        <f t="shared" ca="1" si="4"/>
        <v>46035</v>
      </c>
      <c r="G140" s="11">
        <f ca="1">NETWORKDAYS.INTL(A140,F140,1,'Feriado 2026'!$A$2:$A$14)</f>
        <v>81</v>
      </c>
      <c r="H140" s="11" t="str">
        <f t="shared" ca="1" si="5"/>
        <v>Fora do SLA</v>
      </c>
    </row>
    <row r="141" spans="1:8" x14ac:dyDescent="0.3">
      <c r="A141" s="12">
        <v>45922</v>
      </c>
      <c r="B141" s="11" t="s">
        <v>389</v>
      </c>
      <c r="C141" s="11" t="s">
        <v>410</v>
      </c>
      <c r="D141" s="11" t="s">
        <v>391</v>
      </c>
      <c r="E141" s="11" t="s">
        <v>8</v>
      </c>
      <c r="F141" s="12">
        <f t="shared" ca="1" si="4"/>
        <v>46035</v>
      </c>
      <c r="G141" s="11">
        <f ca="1">NETWORKDAYS.INTL(A141,F141,1,'Feriado 2026'!$A$2:$A$14)</f>
        <v>80</v>
      </c>
      <c r="H141" s="11" t="str">
        <f t="shared" ca="1" si="5"/>
        <v>Fora do SLA</v>
      </c>
    </row>
    <row r="142" spans="1:8" x14ac:dyDescent="0.3">
      <c r="A142" s="12">
        <v>45923</v>
      </c>
      <c r="B142" s="11" t="s">
        <v>411</v>
      </c>
      <c r="C142" s="11" t="s">
        <v>412</v>
      </c>
      <c r="D142" s="11" t="s">
        <v>413</v>
      </c>
      <c r="E142" s="11" t="s">
        <v>24</v>
      </c>
      <c r="F142" s="12">
        <f t="shared" ca="1" si="4"/>
        <v>46035</v>
      </c>
      <c r="G142" s="11">
        <f ca="1">NETWORKDAYS.INTL(A142,F142,1,'Feriado 2026'!$A$2:$A$14)</f>
        <v>79</v>
      </c>
      <c r="H142" s="11" t="str">
        <f t="shared" ca="1" si="5"/>
        <v>Fora do SLA</v>
      </c>
    </row>
    <row r="143" spans="1:8" x14ac:dyDescent="0.3">
      <c r="A143" s="12">
        <v>45923</v>
      </c>
      <c r="B143" s="11" t="s">
        <v>414</v>
      </c>
      <c r="C143" s="11" t="s">
        <v>415</v>
      </c>
      <c r="D143" s="11" t="s">
        <v>416</v>
      </c>
      <c r="E143" s="11" t="s">
        <v>8</v>
      </c>
      <c r="F143" s="12">
        <f t="shared" ca="1" si="4"/>
        <v>46035</v>
      </c>
      <c r="G143" s="11">
        <f ca="1">NETWORKDAYS.INTL(A143,F143,1,'Feriado 2026'!$A$2:$A$14)</f>
        <v>79</v>
      </c>
      <c r="H143" s="11" t="str">
        <f t="shared" ca="1" si="5"/>
        <v>Fora do SLA</v>
      </c>
    </row>
    <row r="144" spans="1:8" x14ac:dyDescent="0.3">
      <c r="A144" s="12">
        <v>45923</v>
      </c>
      <c r="B144" s="11" t="s">
        <v>417</v>
      </c>
      <c r="C144" s="11" t="s">
        <v>418</v>
      </c>
      <c r="D144" s="11" t="s">
        <v>419</v>
      </c>
      <c r="E144" s="11" t="s">
        <v>8</v>
      </c>
      <c r="F144" s="12">
        <f t="shared" ca="1" si="4"/>
        <v>46035</v>
      </c>
      <c r="G144" s="11">
        <f ca="1">NETWORKDAYS.INTL(A144,F144,1,'Feriado 2026'!$A$2:$A$14)</f>
        <v>79</v>
      </c>
      <c r="H144" s="11" t="str">
        <f t="shared" ca="1" si="5"/>
        <v>Fora do SLA</v>
      </c>
    </row>
    <row r="145" spans="1:8" x14ac:dyDescent="0.3">
      <c r="A145" s="12">
        <v>45924</v>
      </c>
      <c r="B145" s="11" t="s">
        <v>420</v>
      </c>
      <c r="C145" s="11" t="s">
        <v>421</v>
      </c>
      <c r="D145" s="11" t="s">
        <v>422</v>
      </c>
      <c r="E145" s="11" t="s">
        <v>8</v>
      </c>
      <c r="F145" s="12">
        <f t="shared" ca="1" si="4"/>
        <v>46035</v>
      </c>
      <c r="G145" s="11">
        <f ca="1">NETWORKDAYS.INTL(A145,F145,1,'Feriado 2026'!$A$2:$A$14)</f>
        <v>78</v>
      </c>
      <c r="H145" s="11" t="str">
        <f t="shared" ca="1" si="5"/>
        <v>Fora do SLA</v>
      </c>
    </row>
    <row r="146" spans="1:8" x14ac:dyDescent="0.3">
      <c r="A146" s="12">
        <v>45924</v>
      </c>
      <c r="B146" s="11" t="s">
        <v>423</v>
      </c>
      <c r="C146" s="11" t="s">
        <v>424</v>
      </c>
      <c r="D146" s="11" t="s">
        <v>425</v>
      </c>
      <c r="E146" s="11" t="s">
        <v>24</v>
      </c>
      <c r="F146" s="12">
        <f t="shared" ca="1" si="4"/>
        <v>46035</v>
      </c>
      <c r="G146" s="11">
        <f ca="1">NETWORKDAYS.INTL(A146,F146,1,'Feriado 2026'!$A$2:$A$14)</f>
        <v>78</v>
      </c>
      <c r="H146" s="11" t="str">
        <f t="shared" ca="1" si="5"/>
        <v>Fora do SLA</v>
      </c>
    </row>
    <row r="147" spans="1:8" x14ac:dyDescent="0.3">
      <c r="A147" s="12">
        <v>45924</v>
      </c>
      <c r="B147" s="11" t="s">
        <v>426</v>
      </c>
      <c r="C147" s="11" t="s">
        <v>427</v>
      </c>
      <c r="D147" s="11" t="s">
        <v>428</v>
      </c>
      <c r="E147" s="11" t="s">
        <v>8</v>
      </c>
      <c r="F147" s="12">
        <f t="shared" ca="1" si="4"/>
        <v>46035</v>
      </c>
      <c r="G147" s="11">
        <f ca="1">NETWORKDAYS.INTL(A147,F147,1,'Feriado 2026'!$A$2:$A$14)</f>
        <v>78</v>
      </c>
      <c r="H147" s="11" t="str">
        <f t="shared" ca="1" si="5"/>
        <v>Fora do SLA</v>
      </c>
    </row>
    <row r="148" spans="1:8" x14ac:dyDescent="0.3">
      <c r="A148" s="12">
        <v>45924</v>
      </c>
      <c r="B148" s="11" t="s">
        <v>356</v>
      </c>
      <c r="C148" s="11" t="s">
        <v>429</v>
      </c>
      <c r="D148" s="11" t="s">
        <v>358</v>
      </c>
      <c r="E148" s="11" t="s">
        <v>8</v>
      </c>
      <c r="F148" s="12">
        <f t="shared" ca="1" si="4"/>
        <v>46035</v>
      </c>
      <c r="G148" s="11">
        <f ca="1">NETWORKDAYS.INTL(A148,F148,1,'Feriado 2026'!$A$2:$A$14)</f>
        <v>78</v>
      </c>
      <c r="H148" s="11" t="str">
        <f t="shared" ca="1" si="5"/>
        <v>Fora do SLA</v>
      </c>
    </row>
    <row r="149" spans="1:8" x14ac:dyDescent="0.3">
      <c r="A149" s="12">
        <v>45924</v>
      </c>
      <c r="B149" s="11" t="s">
        <v>430</v>
      </c>
      <c r="C149" s="11" t="s">
        <v>431</v>
      </c>
      <c r="D149" s="11" t="s">
        <v>432</v>
      </c>
      <c r="E149" s="11" t="s">
        <v>8</v>
      </c>
      <c r="F149" s="12">
        <f t="shared" ca="1" si="4"/>
        <v>46035</v>
      </c>
      <c r="G149" s="11">
        <f ca="1">NETWORKDAYS.INTL(A149,F149,1,'Feriado 2026'!$A$2:$A$14)</f>
        <v>78</v>
      </c>
      <c r="H149" s="11" t="str">
        <f t="shared" ca="1" si="5"/>
        <v>Fora do SLA</v>
      </c>
    </row>
    <row r="150" spans="1:8" x14ac:dyDescent="0.3">
      <c r="A150" s="12">
        <v>45925</v>
      </c>
      <c r="B150" s="11" t="s">
        <v>433</v>
      </c>
      <c r="C150" s="11" t="s">
        <v>434</v>
      </c>
      <c r="D150" s="11" t="s">
        <v>435</v>
      </c>
      <c r="E150" s="11" t="s">
        <v>8</v>
      </c>
      <c r="F150" s="12">
        <f t="shared" ca="1" si="4"/>
        <v>46035</v>
      </c>
      <c r="G150" s="11">
        <f ca="1">NETWORKDAYS.INTL(A150,F150,1,'Feriado 2026'!$A$2:$A$14)</f>
        <v>77</v>
      </c>
      <c r="H150" s="11" t="str">
        <f t="shared" ca="1" si="5"/>
        <v>Fora do SLA</v>
      </c>
    </row>
    <row r="151" spans="1:8" x14ac:dyDescent="0.3">
      <c r="A151" s="12">
        <v>45930</v>
      </c>
      <c r="B151" s="11" t="s">
        <v>436</v>
      </c>
      <c r="C151" s="11" t="s">
        <v>437</v>
      </c>
      <c r="D151" s="11" t="s">
        <v>438</v>
      </c>
      <c r="E151" s="11" t="s">
        <v>8</v>
      </c>
      <c r="F151" s="12">
        <f t="shared" ca="1" si="4"/>
        <v>46035</v>
      </c>
      <c r="G151" s="11">
        <f ca="1">NETWORKDAYS.INTL(A151,F151,1,'Feriado 2026'!$A$2:$A$14)</f>
        <v>74</v>
      </c>
      <c r="H151" s="11" t="str">
        <f t="shared" ca="1" si="5"/>
        <v>Fora do SLA</v>
      </c>
    </row>
    <row r="152" spans="1:8" x14ac:dyDescent="0.3">
      <c r="A152" s="12">
        <v>45931</v>
      </c>
      <c r="B152" s="11" t="s">
        <v>439</v>
      </c>
      <c r="C152" s="11" t="s">
        <v>440</v>
      </c>
      <c r="D152" s="11" t="s">
        <v>441</v>
      </c>
      <c r="E152" s="11" t="s">
        <v>8</v>
      </c>
      <c r="F152" s="12">
        <f t="shared" ca="1" si="4"/>
        <v>46035</v>
      </c>
      <c r="G152" s="11">
        <f ca="1">NETWORKDAYS.INTL(A152,F152,1,'Feriado 2026'!$A$2:$A$14)</f>
        <v>73</v>
      </c>
      <c r="H152" s="11" t="str">
        <f t="shared" ca="1" si="5"/>
        <v>Fora do SLA</v>
      </c>
    </row>
    <row r="153" spans="1:8" x14ac:dyDescent="0.3">
      <c r="A153" s="12">
        <v>45945</v>
      </c>
      <c r="B153" s="11" t="s">
        <v>442</v>
      </c>
      <c r="C153" s="11" t="s">
        <v>443</v>
      </c>
      <c r="D153" s="11" t="s">
        <v>444</v>
      </c>
      <c r="E153" s="11" t="s">
        <v>8</v>
      </c>
      <c r="F153" s="12">
        <f t="shared" ca="1" si="4"/>
        <v>46035</v>
      </c>
      <c r="G153" s="11">
        <f ca="1">NETWORKDAYS.INTL(A153,F153,1,'Feriado 2026'!$A$2:$A$14)</f>
        <v>63</v>
      </c>
      <c r="H153" s="11" t="str">
        <f t="shared" ca="1" si="5"/>
        <v>Fora do SLA</v>
      </c>
    </row>
    <row r="154" spans="1:8" x14ac:dyDescent="0.3">
      <c r="A154" s="12">
        <v>45951</v>
      </c>
      <c r="B154" s="11" t="s">
        <v>445</v>
      </c>
      <c r="C154" s="11" t="s">
        <v>446</v>
      </c>
      <c r="D154" s="11" t="s">
        <v>447</v>
      </c>
      <c r="E154" s="11" t="s">
        <v>8</v>
      </c>
      <c r="F154" s="12">
        <f t="shared" ca="1" si="4"/>
        <v>46035</v>
      </c>
      <c r="G154" s="11">
        <f ca="1">NETWORKDAYS.INTL(A154,F154,1,'Feriado 2026'!$A$2:$A$14)</f>
        <v>59</v>
      </c>
      <c r="H154" s="11" t="str">
        <f t="shared" ca="1" si="5"/>
        <v>Fora do SLA</v>
      </c>
    </row>
    <row r="155" spans="1:8" x14ac:dyDescent="0.3">
      <c r="A155" s="12">
        <v>45951</v>
      </c>
      <c r="B155" s="11" t="s">
        <v>448</v>
      </c>
      <c r="C155" s="11" t="s">
        <v>449</v>
      </c>
      <c r="D155" s="11" t="s">
        <v>450</v>
      </c>
      <c r="E155" s="11" t="s">
        <v>8</v>
      </c>
      <c r="F155" s="12">
        <f t="shared" ca="1" si="4"/>
        <v>46035</v>
      </c>
      <c r="G155" s="11">
        <f ca="1">NETWORKDAYS.INTL(A155,F155,1,'Feriado 2026'!$A$2:$A$14)</f>
        <v>59</v>
      </c>
      <c r="H155" s="11" t="str">
        <f t="shared" ca="1" si="5"/>
        <v>Fora do SLA</v>
      </c>
    </row>
    <row r="156" spans="1:8" x14ac:dyDescent="0.3">
      <c r="A156" s="12">
        <v>45953</v>
      </c>
      <c r="B156" s="11" t="s">
        <v>451</v>
      </c>
      <c r="C156" s="11" t="s">
        <v>452</v>
      </c>
      <c r="D156" s="11" t="s">
        <v>453</v>
      </c>
      <c r="E156" s="11" t="s">
        <v>8</v>
      </c>
      <c r="F156" s="12">
        <f t="shared" ca="1" si="4"/>
        <v>46035</v>
      </c>
      <c r="G156" s="11">
        <f ca="1">NETWORKDAYS.INTL(A156,F156,1,'Feriado 2026'!$A$2:$A$14)</f>
        <v>57</v>
      </c>
      <c r="H156" s="11" t="str">
        <f t="shared" ca="1" si="5"/>
        <v>Fora do SLA</v>
      </c>
    </row>
    <row r="157" spans="1:8" x14ac:dyDescent="0.3">
      <c r="A157" s="12">
        <v>45954</v>
      </c>
      <c r="B157" s="11" t="s">
        <v>454</v>
      </c>
      <c r="C157" s="11" t="s">
        <v>455</v>
      </c>
      <c r="D157" s="11" t="s">
        <v>456</v>
      </c>
      <c r="E157" s="11" t="s">
        <v>8</v>
      </c>
      <c r="F157" s="12">
        <f t="shared" ca="1" si="4"/>
        <v>46035</v>
      </c>
      <c r="G157" s="11">
        <f ca="1">NETWORKDAYS.INTL(A157,F157,1,'Feriado 2026'!$A$2:$A$14)</f>
        <v>56</v>
      </c>
      <c r="H157" s="11" t="str">
        <f t="shared" ca="1" si="5"/>
        <v>Fora do SLA</v>
      </c>
    </row>
    <row r="158" spans="1:8" x14ac:dyDescent="0.3">
      <c r="A158" s="12">
        <v>45954</v>
      </c>
      <c r="B158" s="11" t="s">
        <v>457</v>
      </c>
      <c r="C158" s="11" t="s">
        <v>458</v>
      </c>
      <c r="D158" s="11" t="s">
        <v>459</v>
      </c>
      <c r="E158" s="11" t="s">
        <v>24</v>
      </c>
      <c r="F158" s="12">
        <f t="shared" ca="1" si="4"/>
        <v>46035</v>
      </c>
      <c r="G158" s="11">
        <f ca="1">NETWORKDAYS.INTL(A158,F158,1,'Feriado 2026'!$A$2:$A$14)</f>
        <v>56</v>
      </c>
      <c r="H158" s="11" t="str">
        <f t="shared" ca="1" si="5"/>
        <v>Fora do SLA</v>
      </c>
    </row>
    <row r="159" spans="1:8" x14ac:dyDescent="0.3">
      <c r="A159" s="12">
        <v>45954</v>
      </c>
      <c r="B159" s="11" t="s">
        <v>460</v>
      </c>
      <c r="C159" s="11" t="s">
        <v>461</v>
      </c>
      <c r="D159" s="11" t="s">
        <v>462</v>
      </c>
      <c r="E159" s="11" t="s">
        <v>24</v>
      </c>
      <c r="F159" s="12">
        <f t="shared" ca="1" si="4"/>
        <v>46035</v>
      </c>
      <c r="G159" s="11">
        <f ca="1">NETWORKDAYS.INTL(A159,F159,1,'Feriado 2026'!$A$2:$A$14)</f>
        <v>56</v>
      </c>
      <c r="H159" s="11" t="str">
        <f t="shared" ca="1" si="5"/>
        <v>Fora do SLA</v>
      </c>
    </row>
    <row r="160" spans="1:8" x14ac:dyDescent="0.3">
      <c r="A160" s="12">
        <v>45954</v>
      </c>
      <c r="B160" s="11" t="s">
        <v>463</v>
      </c>
      <c r="C160" s="11" t="s">
        <v>464</v>
      </c>
      <c r="D160" s="11" t="s">
        <v>465</v>
      </c>
      <c r="E160" s="11" t="s">
        <v>8</v>
      </c>
      <c r="F160" s="12">
        <f t="shared" ca="1" si="4"/>
        <v>46035</v>
      </c>
      <c r="G160" s="11">
        <f ca="1">NETWORKDAYS.INTL(A160,F160,1,'Feriado 2026'!$A$2:$A$14)</f>
        <v>56</v>
      </c>
      <c r="H160" s="11" t="str">
        <f t="shared" ca="1" si="5"/>
        <v>Fora do SLA</v>
      </c>
    </row>
    <row r="161" spans="1:8" x14ac:dyDescent="0.3">
      <c r="A161" s="12">
        <v>45957</v>
      </c>
      <c r="B161" s="11" t="s">
        <v>466</v>
      </c>
      <c r="C161" s="11" t="s">
        <v>467</v>
      </c>
      <c r="D161" s="11" t="s">
        <v>468</v>
      </c>
      <c r="E161" s="11" t="s">
        <v>24</v>
      </c>
      <c r="F161" s="12">
        <f t="shared" ca="1" si="4"/>
        <v>46035</v>
      </c>
      <c r="G161" s="11">
        <f ca="1">NETWORKDAYS.INTL(A161,F161,1,'Feriado 2026'!$A$2:$A$14)</f>
        <v>55</v>
      </c>
      <c r="H161" s="11" t="str">
        <f t="shared" ca="1" si="5"/>
        <v>Fora do SLA</v>
      </c>
    </row>
    <row r="162" spans="1:8" x14ac:dyDescent="0.3">
      <c r="A162" s="12">
        <v>45958</v>
      </c>
      <c r="B162" s="11" t="s">
        <v>469</v>
      </c>
      <c r="C162" s="11" t="s">
        <v>470</v>
      </c>
      <c r="D162" s="11" t="s">
        <v>471</v>
      </c>
      <c r="E162" s="11" t="s">
        <v>24</v>
      </c>
      <c r="F162" s="12">
        <f t="shared" ca="1" si="4"/>
        <v>46035</v>
      </c>
      <c r="G162" s="11">
        <f ca="1">NETWORKDAYS.INTL(A162,F162,1,'Feriado 2026'!$A$2:$A$14)</f>
        <v>54</v>
      </c>
      <c r="H162" s="11" t="str">
        <f t="shared" ca="1" si="5"/>
        <v>Fora do SLA</v>
      </c>
    </row>
    <row r="163" spans="1:8" x14ac:dyDescent="0.3">
      <c r="A163" s="12">
        <v>45958</v>
      </c>
      <c r="B163" s="11" t="s">
        <v>472</v>
      </c>
      <c r="C163" s="11" t="s">
        <v>473</v>
      </c>
      <c r="D163" s="11" t="s">
        <v>474</v>
      </c>
      <c r="E163" s="11" t="s">
        <v>24</v>
      </c>
      <c r="F163" s="12">
        <f t="shared" ca="1" si="4"/>
        <v>46035</v>
      </c>
      <c r="G163" s="11">
        <f ca="1">NETWORKDAYS.INTL(A163,F163,1,'Feriado 2026'!$A$2:$A$14)</f>
        <v>54</v>
      </c>
      <c r="H163" s="11" t="str">
        <f t="shared" ca="1" si="5"/>
        <v>Fora do SLA</v>
      </c>
    </row>
    <row r="164" spans="1:8" x14ac:dyDescent="0.3">
      <c r="A164" s="12">
        <v>45959</v>
      </c>
      <c r="B164" s="11" t="s">
        <v>475</v>
      </c>
      <c r="C164" s="11" t="s">
        <v>476</v>
      </c>
      <c r="D164" s="11" t="s">
        <v>477</v>
      </c>
      <c r="E164" s="11" t="s">
        <v>8</v>
      </c>
      <c r="F164" s="12">
        <f t="shared" ca="1" si="4"/>
        <v>46035</v>
      </c>
      <c r="G164" s="11">
        <f ca="1">NETWORKDAYS.INTL(A164,F164,1,'Feriado 2026'!$A$2:$A$14)</f>
        <v>53</v>
      </c>
      <c r="H164" s="11" t="str">
        <f t="shared" ca="1" si="5"/>
        <v>Fora do SLA</v>
      </c>
    </row>
    <row r="165" spans="1:8" x14ac:dyDescent="0.3">
      <c r="A165" s="12">
        <v>45959</v>
      </c>
      <c r="B165" s="11" t="s">
        <v>478</v>
      </c>
      <c r="C165" s="11" t="s">
        <v>479</v>
      </c>
      <c r="D165" s="11" t="s">
        <v>480</v>
      </c>
      <c r="E165" s="11" t="s">
        <v>24</v>
      </c>
      <c r="F165" s="12">
        <f t="shared" ca="1" si="4"/>
        <v>46035</v>
      </c>
      <c r="G165" s="11">
        <f ca="1">NETWORKDAYS.INTL(A165,F165,1,'Feriado 2026'!$A$2:$A$14)</f>
        <v>53</v>
      </c>
      <c r="H165" s="11" t="str">
        <f t="shared" ca="1" si="5"/>
        <v>Fora do SLA</v>
      </c>
    </row>
    <row r="166" spans="1:8" x14ac:dyDescent="0.3">
      <c r="A166" s="12">
        <v>45959</v>
      </c>
      <c r="B166" s="11" t="s">
        <v>481</v>
      </c>
      <c r="C166" s="11" t="s">
        <v>482</v>
      </c>
      <c r="D166" s="11" t="s">
        <v>483</v>
      </c>
      <c r="E166" s="11" t="s">
        <v>8</v>
      </c>
      <c r="F166" s="12">
        <f t="shared" ca="1" si="4"/>
        <v>46035</v>
      </c>
      <c r="G166" s="11">
        <f ca="1">NETWORKDAYS.INTL(A166,F166,1,'Feriado 2026'!$A$2:$A$14)</f>
        <v>53</v>
      </c>
      <c r="H166" s="11" t="str">
        <f t="shared" ca="1" si="5"/>
        <v>Fora do SLA</v>
      </c>
    </row>
    <row r="167" spans="1:8" x14ac:dyDescent="0.3">
      <c r="A167" s="12">
        <v>45959</v>
      </c>
      <c r="B167" s="11" t="s">
        <v>484</v>
      </c>
      <c r="C167" s="11" t="s">
        <v>485</v>
      </c>
      <c r="D167" s="11" t="s">
        <v>486</v>
      </c>
      <c r="E167" s="11" t="s">
        <v>24</v>
      </c>
      <c r="F167" s="12">
        <f t="shared" ca="1" si="4"/>
        <v>46035</v>
      </c>
      <c r="G167" s="11">
        <f ca="1">NETWORKDAYS.INTL(A167,F167,1,'Feriado 2026'!$A$2:$A$14)</f>
        <v>53</v>
      </c>
      <c r="H167" s="11" t="str">
        <f t="shared" ca="1" si="5"/>
        <v>Fora do SLA</v>
      </c>
    </row>
    <row r="168" spans="1:8" x14ac:dyDescent="0.3">
      <c r="A168" s="12">
        <v>45960</v>
      </c>
      <c r="B168" s="11" t="s">
        <v>487</v>
      </c>
      <c r="C168" s="11" t="s">
        <v>488</v>
      </c>
      <c r="D168" s="11" t="s">
        <v>489</v>
      </c>
      <c r="E168" s="11" t="s">
        <v>24</v>
      </c>
      <c r="F168" s="12">
        <f t="shared" ca="1" si="4"/>
        <v>46035</v>
      </c>
      <c r="G168" s="11">
        <f ca="1">NETWORKDAYS.INTL(A168,F168,1,'Feriado 2026'!$A$2:$A$14)</f>
        <v>52</v>
      </c>
      <c r="H168" s="11" t="str">
        <f t="shared" ca="1" si="5"/>
        <v>Fora do SLA</v>
      </c>
    </row>
    <row r="169" spans="1:8" x14ac:dyDescent="0.3">
      <c r="A169" s="12">
        <v>45960</v>
      </c>
      <c r="B169" s="11" t="s">
        <v>490</v>
      </c>
      <c r="C169" s="11" t="s">
        <v>491</v>
      </c>
      <c r="D169" s="11" t="s">
        <v>492</v>
      </c>
      <c r="E169" s="11" t="s">
        <v>24</v>
      </c>
      <c r="F169" s="12">
        <f t="shared" ca="1" si="4"/>
        <v>46035</v>
      </c>
      <c r="G169" s="11">
        <f ca="1">NETWORKDAYS.INTL(A169,F169,1,'Feriado 2026'!$A$2:$A$14)</f>
        <v>52</v>
      </c>
      <c r="H169" s="11" t="str">
        <f t="shared" ca="1" si="5"/>
        <v>Fora do SLA</v>
      </c>
    </row>
    <row r="170" spans="1:8" x14ac:dyDescent="0.3">
      <c r="A170" s="12">
        <v>45960</v>
      </c>
      <c r="B170" s="11" t="s">
        <v>493</v>
      </c>
      <c r="C170" s="11" t="s">
        <v>494</v>
      </c>
      <c r="D170" s="11" t="s">
        <v>495</v>
      </c>
      <c r="E170" s="11" t="s">
        <v>8</v>
      </c>
      <c r="F170" s="12">
        <f t="shared" ca="1" si="4"/>
        <v>46035</v>
      </c>
      <c r="G170" s="11">
        <f ca="1">NETWORKDAYS.INTL(A170,F170,1,'Feriado 2026'!$A$2:$A$14)</f>
        <v>52</v>
      </c>
      <c r="H170" s="11" t="str">
        <f t="shared" ca="1" si="5"/>
        <v>Fora do SLA</v>
      </c>
    </row>
    <row r="171" spans="1:8" x14ac:dyDescent="0.3">
      <c r="A171" s="12">
        <v>45960</v>
      </c>
      <c r="B171" s="11" t="s">
        <v>496</v>
      </c>
      <c r="C171" s="11" t="s">
        <v>497</v>
      </c>
      <c r="D171" s="11" t="s">
        <v>498</v>
      </c>
      <c r="E171" s="11" t="s">
        <v>24</v>
      </c>
      <c r="F171" s="12">
        <f t="shared" ca="1" si="4"/>
        <v>46035</v>
      </c>
      <c r="G171" s="11">
        <f ca="1">NETWORKDAYS.INTL(A171,F171,1,'Feriado 2026'!$A$2:$A$14)</f>
        <v>52</v>
      </c>
      <c r="H171" s="11" t="str">
        <f t="shared" ca="1" si="5"/>
        <v>Fora do SLA</v>
      </c>
    </row>
    <row r="172" spans="1:8" x14ac:dyDescent="0.3">
      <c r="A172" s="12">
        <v>45960</v>
      </c>
      <c r="B172" s="11" t="s">
        <v>499</v>
      </c>
      <c r="C172" s="11" t="s">
        <v>500</v>
      </c>
      <c r="D172" s="11" t="s">
        <v>501</v>
      </c>
      <c r="E172" s="11" t="s">
        <v>8</v>
      </c>
      <c r="F172" s="12">
        <f t="shared" ca="1" si="4"/>
        <v>46035</v>
      </c>
      <c r="G172" s="11">
        <f ca="1">NETWORKDAYS.INTL(A172,F172,1,'Feriado 2026'!$A$2:$A$14)</f>
        <v>52</v>
      </c>
      <c r="H172" s="11" t="str">
        <f t="shared" ca="1" si="5"/>
        <v>Fora do SLA</v>
      </c>
    </row>
    <row r="173" spans="1:8" x14ac:dyDescent="0.3">
      <c r="A173" s="12">
        <v>45961</v>
      </c>
      <c r="B173" s="11" t="s">
        <v>502</v>
      </c>
      <c r="C173" s="11" t="s">
        <v>503</v>
      </c>
      <c r="D173" s="11" t="s">
        <v>504</v>
      </c>
      <c r="E173" s="11" t="s">
        <v>24</v>
      </c>
      <c r="F173" s="12">
        <f t="shared" ca="1" si="4"/>
        <v>46035</v>
      </c>
      <c r="G173" s="11">
        <f ca="1">NETWORKDAYS.INTL(A173,F173,1,'Feriado 2026'!$A$2:$A$14)</f>
        <v>51</v>
      </c>
      <c r="H173" s="11" t="str">
        <f t="shared" ca="1" si="5"/>
        <v>Fora do SLA</v>
      </c>
    </row>
    <row r="174" spans="1:8" x14ac:dyDescent="0.3">
      <c r="A174" s="12">
        <v>45964</v>
      </c>
      <c r="B174" s="11" t="s">
        <v>505</v>
      </c>
      <c r="C174" s="11" t="s">
        <v>506</v>
      </c>
      <c r="D174" s="11" t="s">
        <v>507</v>
      </c>
      <c r="E174" s="11" t="s">
        <v>24</v>
      </c>
      <c r="F174" s="12">
        <f t="shared" ca="1" si="4"/>
        <v>46035</v>
      </c>
      <c r="G174" s="11">
        <f ca="1">NETWORKDAYS.INTL(A174,F174,1,'Feriado 2026'!$A$2:$A$14)</f>
        <v>50</v>
      </c>
      <c r="H174" s="11" t="str">
        <f t="shared" ca="1" si="5"/>
        <v>Fora do SLA</v>
      </c>
    </row>
    <row r="175" spans="1:8" x14ac:dyDescent="0.3">
      <c r="A175" s="12">
        <v>45965</v>
      </c>
      <c r="B175" s="11" t="s">
        <v>508</v>
      </c>
      <c r="C175" s="11" t="s">
        <v>509</v>
      </c>
      <c r="D175" s="11" t="s">
        <v>510</v>
      </c>
      <c r="E175" s="11" t="s">
        <v>24</v>
      </c>
      <c r="F175" s="12">
        <f t="shared" ca="1" si="4"/>
        <v>46035</v>
      </c>
      <c r="G175" s="11">
        <f ca="1">NETWORKDAYS.INTL(A175,F175,1,'Feriado 2026'!$A$2:$A$14)</f>
        <v>49</v>
      </c>
      <c r="H175" s="11" t="str">
        <f t="shared" ca="1" si="5"/>
        <v>Fora do SLA</v>
      </c>
    </row>
    <row r="176" spans="1:8" x14ac:dyDescent="0.3">
      <c r="A176" s="12">
        <v>45966</v>
      </c>
      <c r="B176" s="11" t="s">
        <v>511</v>
      </c>
      <c r="C176" s="11" t="s">
        <v>512</v>
      </c>
      <c r="D176" s="11" t="s">
        <v>513</v>
      </c>
      <c r="E176" s="11" t="s">
        <v>24</v>
      </c>
      <c r="F176" s="12">
        <f t="shared" ca="1" si="4"/>
        <v>46035</v>
      </c>
      <c r="G176" s="11">
        <f ca="1">NETWORKDAYS.INTL(A176,F176,1,'Feriado 2026'!$A$2:$A$14)</f>
        <v>48</v>
      </c>
      <c r="H176" s="11" t="str">
        <f t="shared" ca="1" si="5"/>
        <v>Fora do SLA</v>
      </c>
    </row>
    <row r="177" spans="1:8" x14ac:dyDescent="0.3">
      <c r="A177" s="12">
        <v>45966</v>
      </c>
      <c r="B177" s="11" t="s">
        <v>514</v>
      </c>
      <c r="C177" s="11" t="s">
        <v>515</v>
      </c>
      <c r="D177" s="11" t="s">
        <v>516</v>
      </c>
      <c r="E177" s="11" t="s">
        <v>24</v>
      </c>
      <c r="F177" s="12">
        <f t="shared" ca="1" si="4"/>
        <v>46035</v>
      </c>
      <c r="G177" s="11">
        <f ca="1">NETWORKDAYS.INTL(A177,F177,1,'Feriado 2026'!$A$2:$A$14)</f>
        <v>48</v>
      </c>
      <c r="H177" s="11" t="str">
        <f t="shared" ca="1" si="5"/>
        <v>Fora do SLA</v>
      </c>
    </row>
    <row r="178" spans="1:8" x14ac:dyDescent="0.3">
      <c r="A178" s="12">
        <v>45966</v>
      </c>
      <c r="B178" s="11" t="s">
        <v>517</v>
      </c>
      <c r="C178" s="11" t="s">
        <v>518</v>
      </c>
      <c r="D178" s="11" t="s">
        <v>519</v>
      </c>
      <c r="E178" s="11" t="s">
        <v>24</v>
      </c>
      <c r="F178" s="12">
        <f t="shared" ca="1" si="4"/>
        <v>46035</v>
      </c>
      <c r="G178" s="11">
        <f ca="1">NETWORKDAYS.INTL(A178,F178,1,'Feriado 2026'!$A$2:$A$14)</f>
        <v>48</v>
      </c>
      <c r="H178" s="11" t="str">
        <f t="shared" ca="1" si="5"/>
        <v>Fora do SLA</v>
      </c>
    </row>
    <row r="179" spans="1:8" x14ac:dyDescent="0.3">
      <c r="A179" s="12">
        <v>45966</v>
      </c>
      <c r="B179" s="11" t="s">
        <v>520</v>
      </c>
      <c r="C179" s="11" t="s">
        <v>521</v>
      </c>
      <c r="D179" s="11" t="s">
        <v>522</v>
      </c>
      <c r="E179" s="11" t="s">
        <v>24</v>
      </c>
      <c r="F179" s="12">
        <f t="shared" ca="1" si="4"/>
        <v>46035</v>
      </c>
      <c r="G179" s="11">
        <f ca="1">NETWORKDAYS.INTL(A179,F179,1,'Feriado 2026'!$A$2:$A$14)</f>
        <v>48</v>
      </c>
      <c r="H179" s="11" t="str">
        <f t="shared" ca="1" si="5"/>
        <v>Fora do SLA</v>
      </c>
    </row>
    <row r="180" spans="1:8" x14ac:dyDescent="0.3">
      <c r="A180" s="12">
        <v>45966</v>
      </c>
      <c r="B180" s="11" t="s">
        <v>523</v>
      </c>
      <c r="C180" s="11" t="s">
        <v>524</v>
      </c>
      <c r="D180" s="11" t="s">
        <v>525</v>
      </c>
      <c r="E180" s="11" t="s">
        <v>24</v>
      </c>
      <c r="F180" s="12">
        <f t="shared" ca="1" si="4"/>
        <v>46035</v>
      </c>
      <c r="G180" s="11">
        <f ca="1">NETWORKDAYS.INTL(A180,F180,1,'Feriado 2026'!$A$2:$A$14)</f>
        <v>48</v>
      </c>
      <c r="H180" s="11" t="str">
        <f t="shared" ca="1" si="5"/>
        <v>Fora do SLA</v>
      </c>
    </row>
    <row r="181" spans="1:8" x14ac:dyDescent="0.3">
      <c r="A181" s="12">
        <v>45966</v>
      </c>
      <c r="B181" s="11" t="s">
        <v>526</v>
      </c>
      <c r="C181" s="11" t="s">
        <v>527</v>
      </c>
      <c r="D181" s="11" t="s">
        <v>528</v>
      </c>
      <c r="E181" s="11" t="s">
        <v>24</v>
      </c>
      <c r="F181" s="12">
        <f t="shared" ca="1" si="4"/>
        <v>46035</v>
      </c>
      <c r="G181" s="11">
        <f ca="1">NETWORKDAYS.INTL(A181,F181,1,'Feriado 2026'!$A$2:$A$14)</f>
        <v>48</v>
      </c>
      <c r="H181" s="11" t="str">
        <f t="shared" ca="1" si="5"/>
        <v>Fora do SLA</v>
      </c>
    </row>
    <row r="182" spans="1:8" x14ac:dyDescent="0.3">
      <c r="A182" s="12">
        <v>45967</v>
      </c>
      <c r="B182" s="11" t="s">
        <v>529</v>
      </c>
      <c r="C182" s="11" t="s">
        <v>530</v>
      </c>
      <c r="D182" s="11" t="s">
        <v>531</v>
      </c>
      <c r="E182" s="11" t="s">
        <v>24</v>
      </c>
      <c r="F182" s="12">
        <f t="shared" ca="1" si="4"/>
        <v>46035</v>
      </c>
      <c r="G182" s="11">
        <f ca="1">NETWORKDAYS.INTL(A182,F182,1,'Feriado 2026'!$A$2:$A$14)</f>
        <v>47</v>
      </c>
      <c r="H182" s="11" t="str">
        <f t="shared" ca="1" si="5"/>
        <v>Fora do SLA</v>
      </c>
    </row>
    <row r="183" spans="1:8" x14ac:dyDescent="0.3">
      <c r="A183" s="12">
        <v>45967</v>
      </c>
      <c r="B183" s="11" t="s">
        <v>532</v>
      </c>
      <c r="C183" s="11" t="s">
        <v>533</v>
      </c>
      <c r="D183" s="11" t="s">
        <v>534</v>
      </c>
      <c r="E183" s="11" t="s">
        <v>24</v>
      </c>
      <c r="F183" s="12">
        <f t="shared" ca="1" si="4"/>
        <v>46035</v>
      </c>
      <c r="G183" s="11">
        <f ca="1">NETWORKDAYS.INTL(A183,F183,1,'Feriado 2026'!$A$2:$A$14)</f>
        <v>47</v>
      </c>
      <c r="H183" s="11" t="str">
        <f t="shared" ca="1" si="5"/>
        <v>Fora do SLA</v>
      </c>
    </row>
    <row r="184" spans="1:8" x14ac:dyDescent="0.3">
      <c r="A184" s="12">
        <v>45968</v>
      </c>
      <c r="B184" s="11" t="s">
        <v>535</v>
      </c>
      <c r="C184" s="11" t="s">
        <v>536</v>
      </c>
      <c r="D184" s="11" t="s">
        <v>537</v>
      </c>
      <c r="E184" s="11" t="s">
        <v>24</v>
      </c>
      <c r="F184" s="12">
        <f t="shared" ca="1" si="4"/>
        <v>46035</v>
      </c>
      <c r="G184" s="11">
        <f ca="1">NETWORKDAYS.INTL(A184,F184,1,'Feriado 2026'!$A$2:$A$14)</f>
        <v>46</v>
      </c>
      <c r="H184" s="11" t="str">
        <f t="shared" ca="1" si="5"/>
        <v>Fora do SLA</v>
      </c>
    </row>
    <row r="185" spans="1:8" x14ac:dyDescent="0.3">
      <c r="A185" s="12">
        <v>45971</v>
      </c>
      <c r="B185" s="11" t="s">
        <v>538</v>
      </c>
      <c r="C185" s="11" t="s">
        <v>539</v>
      </c>
      <c r="D185" s="11" t="s">
        <v>540</v>
      </c>
      <c r="E185" s="11" t="s">
        <v>24</v>
      </c>
      <c r="F185" s="12">
        <f t="shared" ca="1" si="4"/>
        <v>46035</v>
      </c>
      <c r="G185" s="11">
        <f ca="1">NETWORKDAYS.INTL(A185,F185,1,'Feriado 2026'!$A$2:$A$14)</f>
        <v>45</v>
      </c>
      <c r="H185" s="11" t="str">
        <f t="shared" ca="1" si="5"/>
        <v>Fora do SLA</v>
      </c>
    </row>
    <row r="186" spans="1:8" x14ac:dyDescent="0.3">
      <c r="A186" s="12">
        <v>45971</v>
      </c>
      <c r="B186" s="11" t="s">
        <v>541</v>
      </c>
      <c r="C186" s="11" t="s">
        <v>542</v>
      </c>
      <c r="D186" s="11" t="s">
        <v>543</v>
      </c>
      <c r="E186" s="11" t="s">
        <v>24</v>
      </c>
      <c r="F186" s="12">
        <f t="shared" ca="1" si="4"/>
        <v>46035</v>
      </c>
      <c r="G186" s="11">
        <f ca="1">NETWORKDAYS.INTL(A186,F186,1,'Feriado 2026'!$A$2:$A$14)</f>
        <v>45</v>
      </c>
      <c r="H186" s="11" t="str">
        <f t="shared" ca="1" si="5"/>
        <v>Fora do SLA</v>
      </c>
    </row>
    <row r="187" spans="1:8" x14ac:dyDescent="0.3">
      <c r="A187" s="12">
        <v>45971</v>
      </c>
      <c r="B187" s="11" t="s">
        <v>544</v>
      </c>
      <c r="C187" s="11" t="s">
        <v>545</v>
      </c>
      <c r="D187" s="11" t="s">
        <v>546</v>
      </c>
      <c r="E187" s="11" t="s">
        <v>24</v>
      </c>
      <c r="F187" s="12">
        <f t="shared" ca="1" si="4"/>
        <v>46035</v>
      </c>
      <c r="G187" s="11">
        <f ca="1">NETWORKDAYS.INTL(A187,F187,1,'Feriado 2026'!$A$2:$A$14)</f>
        <v>45</v>
      </c>
      <c r="H187" s="11" t="str">
        <f t="shared" ca="1" si="5"/>
        <v>Fora do SLA</v>
      </c>
    </row>
    <row r="188" spans="1:8" x14ac:dyDescent="0.3">
      <c r="A188" s="12">
        <v>45971</v>
      </c>
      <c r="B188" s="11" t="s">
        <v>547</v>
      </c>
      <c r="C188" s="11" t="s">
        <v>548</v>
      </c>
      <c r="D188" s="11" t="s">
        <v>549</v>
      </c>
      <c r="E188" s="11" t="s">
        <v>24</v>
      </c>
      <c r="F188" s="12">
        <f t="shared" ca="1" si="4"/>
        <v>46035</v>
      </c>
      <c r="G188" s="11">
        <f ca="1">NETWORKDAYS.INTL(A188,F188,1,'Feriado 2026'!$A$2:$A$14)</f>
        <v>45</v>
      </c>
      <c r="H188" s="11" t="str">
        <f t="shared" ca="1" si="5"/>
        <v>Fora do SLA</v>
      </c>
    </row>
    <row r="189" spans="1:8" x14ac:dyDescent="0.3">
      <c r="A189" s="12">
        <v>45971</v>
      </c>
      <c r="B189" s="11" t="s">
        <v>550</v>
      </c>
      <c r="C189" s="11" t="s">
        <v>551</v>
      </c>
      <c r="D189" s="11" t="s">
        <v>552</v>
      </c>
      <c r="E189" s="11" t="s">
        <v>24</v>
      </c>
      <c r="F189" s="12">
        <f t="shared" ca="1" si="4"/>
        <v>46035</v>
      </c>
      <c r="G189" s="11">
        <f ca="1">NETWORKDAYS.INTL(A189,F189,1,'Feriado 2026'!$A$2:$A$14)</f>
        <v>45</v>
      </c>
      <c r="H189" s="11" t="str">
        <f t="shared" ca="1" si="5"/>
        <v>Fora do SLA</v>
      </c>
    </row>
    <row r="190" spans="1:8" x14ac:dyDescent="0.3">
      <c r="A190" s="12">
        <v>45971</v>
      </c>
      <c r="B190" s="11" t="s">
        <v>553</v>
      </c>
      <c r="C190" s="11" t="s">
        <v>554</v>
      </c>
      <c r="D190" s="11" t="s">
        <v>555</v>
      </c>
      <c r="E190" s="11" t="s">
        <v>24</v>
      </c>
      <c r="F190" s="12">
        <f t="shared" ca="1" si="4"/>
        <v>46035</v>
      </c>
      <c r="G190" s="11">
        <f ca="1">NETWORKDAYS.INTL(A190,F190,1,'Feriado 2026'!$A$2:$A$14)</f>
        <v>45</v>
      </c>
      <c r="H190" s="11" t="str">
        <f t="shared" ca="1" si="5"/>
        <v>Fora do SLA</v>
      </c>
    </row>
    <row r="191" spans="1:8" x14ac:dyDescent="0.3">
      <c r="A191" s="12">
        <v>45972</v>
      </c>
      <c r="B191" s="11" t="s">
        <v>556</v>
      </c>
      <c r="C191" s="11" t="s">
        <v>557</v>
      </c>
      <c r="D191" s="11" t="s">
        <v>558</v>
      </c>
      <c r="E191" s="11" t="s">
        <v>24</v>
      </c>
      <c r="F191" s="12">
        <f t="shared" ca="1" si="4"/>
        <v>46035</v>
      </c>
      <c r="G191" s="11">
        <f ca="1">NETWORKDAYS.INTL(A191,F191,1,'Feriado 2026'!$A$2:$A$14)</f>
        <v>44</v>
      </c>
      <c r="H191" s="11" t="str">
        <f t="shared" ca="1" si="5"/>
        <v>Fora do SLA</v>
      </c>
    </row>
    <row r="192" spans="1:8" x14ac:dyDescent="0.3">
      <c r="A192" s="12">
        <v>45972</v>
      </c>
      <c r="B192" s="11" t="s">
        <v>559</v>
      </c>
      <c r="C192" s="11" t="s">
        <v>560</v>
      </c>
      <c r="D192" s="11" t="s">
        <v>561</v>
      </c>
      <c r="E192" s="11" t="s">
        <v>8</v>
      </c>
      <c r="F192" s="12">
        <f t="shared" ca="1" si="4"/>
        <v>46035</v>
      </c>
      <c r="G192" s="11">
        <f ca="1">NETWORKDAYS.INTL(A192,F192,1,'Feriado 2026'!$A$2:$A$14)</f>
        <v>44</v>
      </c>
      <c r="H192" s="11" t="str">
        <f t="shared" ca="1" si="5"/>
        <v>Fora do SLA</v>
      </c>
    </row>
    <row r="193" spans="1:8" x14ac:dyDescent="0.3">
      <c r="A193" s="12">
        <v>45972</v>
      </c>
      <c r="B193" s="11" t="s">
        <v>562</v>
      </c>
      <c r="C193" s="11" t="s">
        <v>563</v>
      </c>
      <c r="D193" s="11" t="s">
        <v>564</v>
      </c>
      <c r="E193" s="11" t="s">
        <v>24</v>
      </c>
      <c r="F193" s="12">
        <f t="shared" ca="1" si="4"/>
        <v>46035</v>
      </c>
      <c r="G193" s="11">
        <f ca="1">NETWORKDAYS.INTL(A193,F193,1,'Feriado 2026'!$A$2:$A$14)</f>
        <v>44</v>
      </c>
      <c r="H193" s="11" t="str">
        <f t="shared" ca="1" si="5"/>
        <v>Fora do SLA</v>
      </c>
    </row>
    <row r="194" spans="1:8" x14ac:dyDescent="0.3">
      <c r="A194" s="12">
        <v>45972</v>
      </c>
      <c r="B194" s="11" t="s">
        <v>565</v>
      </c>
      <c r="C194" s="11" t="s">
        <v>566</v>
      </c>
      <c r="D194" s="11" t="s">
        <v>567</v>
      </c>
      <c r="E194" s="11" t="s">
        <v>24</v>
      </c>
      <c r="F194" s="12">
        <f t="shared" ca="1" si="4"/>
        <v>46035</v>
      </c>
      <c r="G194" s="11">
        <f ca="1">NETWORKDAYS.INTL(A194,F194,1,'Feriado 2026'!$A$2:$A$14)</f>
        <v>44</v>
      </c>
      <c r="H194" s="11" t="str">
        <f t="shared" ca="1" si="5"/>
        <v>Fora do SLA</v>
      </c>
    </row>
    <row r="195" spans="1:8" x14ac:dyDescent="0.3">
      <c r="A195" s="12">
        <v>45975</v>
      </c>
      <c r="B195" s="11" t="s">
        <v>568</v>
      </c>
      <c r="C195" s="11" t="s">
        <v>569</v>
      </c>
      <c r="D195" s="11" t="s">
        <v>570</v>
      </c>
      <c r="E195" s="11" t="s">
        <v>8</v>
      </c>
      <c r="F195" s="12">
        <f t="shared" ref="F195:F258" ca="1" si="6">TODAY()</f>
        <v>46035</v>
      </c>
      <c r="G195" s="11">
        <f ca="1">NETWORKDAYS.INTL(A195,F195,1,'Feriado 2026'!$A$2:$A$14)</f>
        <v>41</v>
      </c>
      <c r="H195" s="11" t="str">
        <f t="shared" ref="H195:H258" ca="1" si="7">IF(G195&lt;=2,"Dentro do SLA","Fora do SLA")</f>
        <v>Fora do SLA</v>
      </c>
    </row>
    <row r="196" spans="1:8" x14ac:dyDescent="0.3">
      <c r="A196" s="12">
        <v>45978</v>
      </c>
      <c r="B196" s="11" t="s">
        <v>571</v>
      </c>
      <c r="C196" s="11" t="s">
        <v>572</v>
      </c>
      <c r="D196" s="11" t="s">
        <v>573</v>
      </c>
      <c r="E196" s="11" t="s">
        <v>24</v>
      </c>
      <c r="F196" s="12">
        <f t="shared" ca="1" si="6"/>
        <v>46035</v>
      </c>
      <c r="G196" s="11">
        <f ca="1">NETWORKDAYS.INTL(A196,F196,1,'Feriado 2026'!$A$2:$A$14)</f>
        <v>40</v>
      </c>
      <c r="H196" s="11" t="str">
        <f t="shared" ca="1" si="7"/>
        <v>Fora do SLA</v>
      </c>
    </row>
    <row r="197" spans="1:8" x14ac:dyDescent="0.3">
      <c r="A197" s="12">
        <v>45979</v>
      </c>
      <c r="B197" s="11" t="s">
        <v>574</v>
      </c>
      <c r="C197" s="11" t="s">
        <v>575</v>
      </c>
      <c r="D197" s="11" t="s">
        <v>576</v>
      </c>
      <c r="E197" s="11" t="s">
        <v>8</v>
      </c>
      <c r="F197" s="12">
        <f t="shared" ca="1" si="6"/>
        <v>46035</v>
      </c>
      <c r="G197" s="11">
        <f ca="1">NETWORKDAYS.INTL(A197,F197,1,'Feriado 2026'!$A$2:$A$14)</f>
        <v>39</v>
      </c>
      <c r="H197" s="11" t="str">
        <f t="shared" ca="1" si="7"/>
        <v>Fora do SLA</v>
      </c>
    </row>
    <row r="198" spans="1:8" x14ac:dyDescent="0.3">
      <c r="A198" s="12">
        <v>45980</v>
      </c>
      <c r="B198" s="11" t="s">
        <v>577</v>
      </c>
      <c r="C198" s="11" t="s">
        <v>578</v>
      </c>
      <c r="D198" s="11" t="s">
        <v>579</v>
      </c>
      <c r="E198" s="11" t="s">
        <v>8</v>
      </c>
      <c r="F198" s="12">
        <f t="shared" ca="1" si="6"/>
        <v>46035</v>
      </c>
      <c r="G198" s="11">
        <f ca="1">NETWORKDAYS.INTL(A198,F198,1,'Feriado 2026'!$A$2:$A$14)</f>
        <v>38</v>
      </c>
      <c r="H198" s="11" t="str">
        <f t="shared" ca="1" si="7"/>
        <v>Fora do SLA</v>
      </c>
    </row>
    <row r="199" spans="1:8" x14ac:dyDescent="0.3">
      <c r="A199" s="12">
        <v>45980</v>
      </c>
      <c r="B199" s="11" t="s">
        <v>580</v>
      </c>
      <c r="C199" s="11" t="s">
        <v>581</v>
      </c>
      <c r="D199" s="11" t="s">
        <v>582</v>
      </c>
      <c r="E199" s="11" t="s">
        <v>24</v>
      </c>
      <c r="F199" s="12">
        <f t="shared" ca="1" si="6"/>
        <v>46035</v>
      </c>
      <c r="G199" s="11">
        <f ca="1">NETWORKDAYS.INTL(A199,F199,1,'Feriado 2026'!$A$2:$A$14)</f>
        <v>38</v>
      </c>
      <c r="H199" s="11" t="str">
        <f t="shared" ca="1" si="7"/>
        <v>Fora do SLA</v>
      </c>
    </row>
    <row r="200" spans="1:8" x14ac:dyDescent="0.3">
      <c r="A200" s="12">
        <v>45980</v>
      </c>
      <c r="B200" s="11" t="s">
        <v>583</v>
      </c>
      <c r="C200" s="11" t="s">
        <v>584</v>
      </c>
      <c r="D200" s="11" t="s">
        <v>585</v>
      </c>
      <c r="E200" s="11" t="s">
        <v>8</v>
      </c>
      <c r="F200" s="12">
        <f t="shared" ca="1" si="6"/>
        <v>46035</v>
      </c>
      <c r="G200" s="11">
        <f ca="1">NETWORKDAYS.INTL(A200,F200,1,'Feriado 2026'!$A$2:$A$14)</f>
        <v>38</v>
      </c>
      <c r="H200" s="11" t="str">
        <f t="shared" ca="1" si="7"/>
        <v>Fora do SLA</v>
      </c>
    </row>
    <row r="201" spans="1:8" x14ac:dyDescent="0.3">
      <c r="A201" s="12">
        <v>45980</v>
      </c>
      <c r="B201" s="11" t="s">
        <v>586</v>
      </c>
      <c r="C201" s="11" t="s">
        <v>587</v>
      </c>
      <c r="D201" s="11" t="s">
        <v>588</v>
      </c>
      <c r="E201" s="11" t="s">
        <v>8</v>
      </c>
      <c r="F201" s="12">
        <f t="shared" ca="1" si="6"/>
        <v>46035</v>
      </c>
      <c r="G201" s="11">
        <f ca="1">NETWORKDAYS.INTL(A201,F201,1,'Feriado 2026'!$A$2:$A$14)</f>
        <v>38</v>
      </c>
      <c r="H201" s="11" t="str">
        <f t="shared" ca="1" si="7"/>
        <v>Fora do SLA</v>
      </c>
    </row>
    <row r="202" spans="1:8" x14ac:dyDescent="0.3">
      <c r="A202" s="12">
        <v>45980</v>
      </c>
      <c r="B202" s="11" t="s">
        <v>589</v>
      </c>
      <c r="C202" s="11" t="s">
        <v>590</v>
      </c>
      <c r="D202" s="11" t="s">
        <v>591</v>
      </c>
      <c r="E202" s="11" t="s">
        <v>24</v>
      </c>
      <c r="F202" s="12">
        <f t="shared" ca="1" si="6"/>
        <v>46035</v>
      </c>
      <c r="G202" s="11">
        <f ca="1">NETWORKDAYS.INTL(A202,F202,1,'Feriado 2026'!$A$2:$A$14)</f>
        <v>38</v>
      </c>
      <c r="H202" s="11" t="str">
        <f t="shared" ca="1" si="7"/>
        <v>Fora do SLA</v>
      </c>
    </row>
    <row r="203" spans="1:8" x14ac:dyDescent="0.3">
      <c r="A203" s="12">
        <v>45980</v>
      </c>
      <c r="B203" s="11" t="s">
        <v>592</v>
      </c>
      <c r="C203" s="11" t="s">
        <v>593</v>
      </c>
      <c r="D203" s="11" t="s">
        <v>594</v>
      </c>
      <c r="E203" s="11" t="s">
        <v>24</v>
      </c>
      <c r="F203" s="12">
        <f t="shared" ca="1" si="6"/>
        <v>46035</v>
      </c>
      <c r="G203" s="11">
        <f ca="1">NETWORKDAYS.INTL(A203,F203,1,'Feriado 2026'!$A$2:$A$14)</f>
        <v>38</v>
      </c>
      <c r="H203" s="11" t="str">
        <f t="shared" ca="1" si="7"/>
        <v>Fora do SLA</v>
      </c>
    </row>
    <row r="204" spans="1:8" x14ac:dyDescent="0.3">
      <c r="A204" s="12">
        <v>45987</v>
      </c>
      <c r="B204" s="11" t="s">
        <v>595</v>
      </c>
      <c r="C204" s="11" t="s">
        <v>596</v>
      </c>
      <c r="D204" s="11" t="s">
        <v>597</v>
      </c>
      <c r="E204" s="11" t="s">
        <v>24</v>
      </c>
      <c r="F204" s="12">
        <f t="shared" ca="1" si="6"/>
        <v>46035</v>
      </c>
      <c r="G204" s="11">
        <f ca="1">NETWORKDAYS.INTL(A204,F204,1,'Feriado 2026'!$A$2:$A$14)</f>
        <v>34</v>
      </c>
      <c r="H204" s="11" t="str">
        <f t="shared" ca="1" si="7"/>
        <v>Fora do SLA</v>
      </c>
    </row>
    <row r="205" spans="1:8" x14ac:dyDescent="0.3">
      <c r="A205" s="12">
        <v>45975</v>
      </c>
      <c r="B205" s="11" t="s">
        <v>598</v>
      </c>
      <c r="C205" s="11" t="s">
        <v>599</v>
      </c>
      <c r="D205" s="11" t="s">
        <v>600</v>
      </c>
      <c r="E205" s="11" t="s">
        <v>8</v>
      </c>
      <c r="F205" s="12">
        <f t="shared" ca="1" si="6"/>
        <v>46035</v>
      </c>
      <c r="G205" s="11">
        <f ca="1">NETWORKDAYS.INTL(A205,F205,1,'Feriado 2026'!$A$2:$A$14)</f>
        <v>41</v>
      </c>
      <c r="H205" s="11" t="str">
        <f t="shared" ca="1" si="7"/>
        <v>Fora do SLA</v>
      </c>
    </row>
    <row r="206" spans="1:8" x14ac:dyDescent="0.3">
      <c r="A206" s="12">
        <v>45987</v>
      </c>
      <c r="B206" s="11" t="s">
        <v>601</v>
      </c>
      <c r="C206" s="11" t="s">
        <v>602</v>
      </c>
      <c r="D206" s="11" t="s">
        <v>603</v>
      </c>
      <c r="E206" s="11" t="s">
        <v>24</v>
      </c>
      <c r="F206" s="12">
        <f t="shared" ca="1" si="6"/>
        <v>46035</v>
      </c>
      <c r="G206" s="11">
        <f ca="1">NETWORKDAYS.INTL(A206,F206,1,'Feriado 2026'!$A$2:$A$14)</f>
        <v>34</v>
      </c>
      <c r="H206" s="11" t="str">
        <f t="shared" ca="1" si="7"/>
        <v>Fora do SLA</v>
      </c>
    </row>
    <row r="207" spans="1:8" x14ac:dyDescent="0.3">
      <c r="A207" s="12">
        <v>45987</v>
      </c>
      <c r="B207" s="11" t="s">
        <v>604</v>
      </c>
      <c r="C207" s="11" t="s">
        <v>605</v>
      </c>
      <c r="D207" s="11" t="s">
        <v>606</v>
      </c>
      <c r="E207" s="11" t="s">
        <v>24</v>
      </c>
      <c r="F207" s="12">
        <f t="shared" ca="1" si="6"/>
        <v>46035</v>
      </c>
      <c r="G207" s="11">
        <f ca="1">NETWORKDAYS.INTL(A207,F207,1,'Feriado 2026'!$A$2:$A$14)</f>
        <v>34</v>
      </c>
      <c r="H207" s="11" t="str">
        <f t="shared" ca="1" si="7"/>
        <v>Fora do SLA</v>
      </c>
    </row>
    <row r="208" spans="1:8" x14ac:dyDescent="0.3">
      <c r="A208" s="12">
        <v>45987</v>
      </c>
      <c r="B208" s="11" t="s">
        <v>607</v>
      </c>
      <c r="C208" s="11" t="s">
        <v>608</v>
      </c>
      <c r="D208" s="11" t="s">
        <v>609</v>
      </c>
      <c r="E208" s="11" t="s">
        <v>24</v>
      </c>
      <c r="F208" s="12">
        <f t="shared" ca="1" si="6"/>
        <v>46035</v>
      </c>
      <c r="G208" s="11">
        <f ca="1">NETWORKDAYS.INTL(A208,F208,1,'Feriado 2026'!$A$2:$A$14)</f>
        <v>34</v>
      </c>
      <c r="H208" s="11" t="str">
        <f t="shared" ca="1" si="7"/>
        <v>Fora do SLA</v>
      </c>
    </row>
    <row r="209" spans="1:8" x14ac:dyDescent="0.3">
      <c r="A209" s="12">
        <v>45987</v>
      </c>
      <c r="B209" s="11" t="s">
        <v>610</v>
      </c>
      <c r="C209" s="11" t="s">
        <v>611</v>
      </c>
      <c r="D209" s="11" t="s">
        <v>612</v>
      </c>
      <c r="E209" s="11" t="s">
        <v>24</v>
      </c>
      <c r="F209" s="12">
        <f t="shared" ca="1" si="6"/>
        <v>46035</v>
      </c>
      <c r="G209" s="11">
        <f ca="1">NETWORKDAYS.INTL(A209,F209,1,'Feriado 2026'!$A$2:$A$14)</f>
        <v>34</v>
      </c>
      <c r="H209" s="11" t="str">
        <f t="shared" ca="1" si="7"/>
        <v>Fora do SLA</v>
      </c>
    </row>
    <row r="210" spans="1:8" x14ac:dyDescent="0.3">
      <c r="A210" s="12">
        <v>45987</v>
      </c>
      <c r="B210" s="11" t="s">
        <v>613</v>
      </c>
      <c r="C210" s="11" t="s">
        <v>614</v>
      </c>
      <c r="D210" s="11" t="s">
        <v>615</v>
      </c>
      <c r="E210" s="11" t="s">
        <v>24</v>
      </c>
      <c r="F210" s="12">
        <f t="shared" ca="1" si="6"/>
        <v>46035</v>
      </c>
      <c r="G210" s="11">
        <f ca="1">NETWORKDAYS.INTL(A210,F210,1,'Feriado 2026'!$A$2:$A$14)</f>
        <v>34</v>
      </c>
      <c r="H210" s="11" t="str">
        <f t="shared" ca="1" si="7"/>
        <v>Fora do SLA</v>
      </c>
    </row>
    <row r="211" spans="1:8" x14ac:dyDescent="0.3">
      <c r="A211" s="12">
        <v>45988</v>
      </c>
      <c r="B211" s="11" t="s">
        <v>616</v>
      </c>
      <c r="C211" s="11" t="s">
        <v>617</v>
      </c>
      <c r="D211" s="11" t="s">
        <v>618</v>
      </c>
      <c r="E211" s="11" t="s">
        <v>24</v>
      </c>
      <c r="F211" s="12">
        <f t="shared" ca="1" si="6"/>
        <v>46035</v>
      </c>
      <c r="G211" s="11">
        <f ca="1">NETWORKDAYS.INTL(A211,F211,1,'Feriado 2026'!$A$2:$A$14)</f>
        <v>33</v>
      </c>
      <c r="H211" s="11" t="str">
        <f t="shared" ca="1" si="7"/>
        <v>Fora do SLA</v>
      </c>
    </row>
    <row r="212" spans="1:8" x14ac:dyDescent="0.3">
      <c r="A212" s="12">
        <v>45988</v>
      </c>
      <c r="B212" s="11" t="s">
        <v>619</v>
      </c>
      <c r="C212" s="11" t="s">
        <v>620</v>
      </c>
      <c r="D212" s="11" t="s">
        <v>621</v>
      </c>
      <c r="E212" s="11" t="s">
        <v>24</v>
      </c>
      <c r="F212" s="12">
        <f t="shared" ca="1" si="6"/>
        <v>46035</v>
      </c>
      <c r="G212" s="11">
        <f ca="1">NETWORKDAYS.INTL(A212,F212,1,'Feriado 2026'!$A$2:$A$14)</f>
        <v>33</v>
      </c>
      <c r="H212" s="11" t="str">
        <f t="shared" ca="1" si="7"/>
        <v>Fora do SLA</v>
      </c>
    </row>
    <row r="213" spans="1:8" x14ac:dyDescent="0.3">
      <c r="A213" s="12">
        <v>45988</v>
      </c>
      <c r="B213" s="11" t="s">
        <v>622</v>
      </c>
      <c r="C213" s="11" t="s">
        <v>623</v>
      </c>
      <c r="D213" s="11" t="s">
        <v>624</v>
      </c>
      <c r="E213" s="11" t="s">
        <v>24</v>
      </c>
      <c r="F213" s="12">
        <f t="shared" ca="1" si="6"/>
        <v>46035</v>
      </c>
      <c r="G213" s="11">
        <f ca="1">NETWORKDAYS.INTL(A213,F213,1,'Feriado 2026'!$A$2:$A$14)</f>
        <v>33</v>
      </c>
      <c r="H213" s="11" t="str">
        <f t="shared" ca="1" si="7"/>
        <v>Fora do SLA</v>
      </c>
    </row>
    <row r="214" spans="1:8" x14ac:dyDescent="0.3">
      <c r="A214" s="12">
        <v>45988</v>
      </c>
      <c r="B214" s="11" t="s">
        <v>625</v>
      </c>
      <c r="C214" s="11" t="s">
        <v>626</v>
      </c>
      <c r="D214" s="11" t="s">
        <v>627</v>
      </c>
      <c r="E214" s="11" t="s">
        <v>24</v>
      </c>
      <c r="F214" s="12">
        <f t="shared" ca="1" si="6"/>
        <v>46035</v>
      </c>
      <c r="G214" s="11">
        <f ca="1">NETWORKDAYS.INTL(A214,F214,1,'Feriado 2026'!$A$2:$A$14)</f>
        <v>33</v>
      </c>
      <c r="H214" s="11" t="str">
        <f t="shared" ca="1" si="7"/>
        <v>Fora do SLA</v>
      </c>
    </row>
    <row r="215" spans="1:8" x14ac:dyDescent="0.3">
      <c r="A215" s="12">
        <v>45988</v>
      </c>
      <c r="B215" s="11" t="s">
        <v>628</v>
      </c>
      <c r="C215" s="11" t="s">
        <v>629</v>
      </c>
      <c r="D215" s="11" t="s">
        <v>630</v>
      </c>
      <c r="E215" s="11" t="s">
        <v>24</v>
      </c>
      <c r="F215" s="12">
        <f t="shared" ca="1" si="6"/>
        <v>46035</v>
      </c>
      <c r="G215" s="11">
        <f ca="1">NETWORKDAYS.INTL(A215,F215,1,'Feriado 2026'!$A$2:$A$14)</f>
        <v>33</v>
      </c>
      <c r="H215" s="11" t="str">
        <f t="shared" ca="1" si="7"/>
        <v>Fora do SLA</v>
      </c>
    </row>
    <row r="216" spans="1:8" x14ac:dyDescent="0.3">
      <c r="A216" s="12">
        <v>45988</v>
      </c>
      <c r="B216" s="11" t="s">
        <v>631</v>
      </c>
      <c r="C216" s="11" t="s">
        <v>632</v>
      </c>
      <c r="D216" s="11" t="s">
        <v>633</v>
      </c>
      <c r="E216" s="11" t="s">
        <v>24</v>
      </c>
      <c r="F216" s="12">
        <f t="shared" ca="1" si="6"/>
        <v>46035</v>
      </c>
      <c r="G216" s="11">
        <f ca="1">NETWORKDAYS.INTL(A216,F216,1,'Feriado 2026'!$A$2:$A$14)</f>
        <v>33</v>
      </c>
      <c r="H216" s="11" t="str">
        <f t="shared" ca="1" si="7"/>
        <v>Fora do SLA</v>
      </c>
    </row>
    <row r="217" spans="1:8" x14ac:dyDescent="0.3">
      <c r="A217" s="12">
        <v>45988</v>
      </c>
      <c r="B217" s="11" t="s">
        <v>634</v>
      </c>
      <c r="C217" s="11" t="s">
        <v>635</v>
      </c>
      <c r="D217" s="11" t="s">
        <v>636</v>
      </c>
      <c r="E217" s="11" t="s">
        <v>24</v>
      </c>
      <c r="F217" s="12">
        <f t="shared" ca="1" si="6"/>
        <v>46035</v>
      </c>
      <c r="G217" s="11">
        <f ca="1">NETWORKDAYS.INTL(A217,F217,1,'Feriado 2026'!$A$2:$A$14)</f>
        <v>33</v>
      </c>
      <c r="H217" s="11" t="str">
        <f t="shared" ca="1" si="7"/>
        <v>Fora do SLA</v>
      </c>
    </row>
    <row r="218" spans="1:8" x14ac:dyDescent="0.3">
      <c r="A218" s="12">
        <v>45989</v>
      </c>
      <c r="B218" s="11" t="s">
        <v>637</v>
      </c>
      <c r="C218" s="11" t="s">
        <v>638</v>
      </c>
      <c r="D218" s="11" t="s">
        <v>639</v>
      </c>
      <c r="E218" s="11" t="s">
        <v>8</v>
      </c>
      <c r="F218" s="12">
        <f t="shared" ca="1" si="6"/>
        <v>46035</v>
      </c>
      <c r="G218" s="11">
        <f ca="1">NETWORKDAYS.INTL(A218,F218,1,'Feriado 2026'!$A$2:$A$14)</f>
        <v>32</v>
      </c>
      <c r="H218" s="11" t="str">
        <f t="shared" ca="1" si="7"/>
        <v>Fora do SLA</v>
      </c>
    </row>
    <row r="219" spans="1:8" x14ac:dyDescent="0.3">
      <c r="A219" s="12">
        <v>45989</v>
      </c>
      <c r="B219" s="11" t="s">
        <v>640</v>
      </c>
      <c r="C219" s="11" t="s">
        <v>641</v>
      </c>
      <c r="D219" s="11" t="s">
        <v>642</v>
      </c>
      <c r="E219" s="11" t="s">
        <v>8</v>
      </c>
      <c r="F219" s="12">
        <f t="shared" ca="1" si="6"/>
        <v>46035</v>
      </c>
      <c r="G219" s="11">
        <f ca="1">NETWORKDAYS.INTL(A219,F219,1,'Feriado 2026'!$A$2:$A$14)</f>
        <v>32</v>
      </c>
      <c r="H219" s="11" t="str">
        <f t="shared" ca="1" si="7"/>
        <v>Fora do SLA</v>
      </c>
    </row>
    <row r="220" spans="1:8" x14ac:dyDescent="0.3">
      <c r="A220" s="12">
        <v>45989</v>
      </c>
      <c r="B220" s="11" t="s">
        <v>643</v>
      </c>
      <c r="C220" s="11" t="s">
        <v>644</v>
      </c>
      <c r="D220" s="11" t="s">
        <v>645</v>
      </c>
      <c r="E220" s="11" t="s">
        <v>8</v>
      </c>
      <c r="F220" s="12">
        <f t="shared" ca="1" si="6"/>
        <v>46035</v>
      </c>
      <c r="G220" s="11">
        <f ca="1">NETWORKDAYS.INTL(A220,F220,1,'Feriado 2026'!$A$2:$A$14)</f>
        <v>32</v>
      </c>
      <c r="H220" s="11" t="str">
        <f t="shared" ca="1" si="7"/>
        <v>Fora do SLA</v>
      </c>
    </row>
    <row r="221" spans="1:8" x14ac:dyDescent="0.3">
      <c r="A221" s="12">
        <v>45993</v>
      </c>
      <c r="B221" s="11" t="s">
        <v>646</v>
      </c>
      <c r="C221" s="11" t="s">
        <v>647</v>
      </c>
      <c r="D221" s="11" t="s">
        <v>648</v>
      </c>
      <c r="E221" s="11" t="s">
        <v>24</v>
      </c>
      <c r="F221" s="12">
        <f t="shared" ca="1" si="6"/>
        <v>46035</v>
      </c>
      <c r="G221" s="11">
        <f ca="1">NETWORKDAYS.INTL(A221,F221,1,'Feriado 2026'!$A$2:$A$14)</f>
        <v>30</v>
      </c>
      <c r="H221" s="11" t="str">
        <f t="shared" ca="1" si="7"/>
        <v>Fora do SLA</v>
      </c>
    </row>
    <row r="222" spans="1:8" x14ac:dyDescent="0.3">
      <c r="A222" s="12">
        <v>45993</v>
      </c>
      <c r="B222" s="11" t="s">
        <v>649</v>
      </c>
      <c r="C222" s="11" t="s">
        <v>650</v>
      </c>
      <c r="D222" s="11" t="s">
        <v>651</v>
      </c>
      <c r="E222" s="11" t="s">
        <v>24</v>
      </c>
      <c r="F222" s="12">
        <f t="shared" ca="1" si="6"/>
        <v>46035</v>
      </c>
      <c r="G222" s="11">
        <f ca="1">NETWORKDAYS.INTL(A222,F222,1,'Feriado 2026'!$A$2:$A$14)</f>
        <v>30</v>
      </c>
      <c r="H222" s="11" t="str">
        <f t="shared" ca="1" si="7"/>
        <v>Fora do SLA</v>
      </c>
    </row>
    <row r="223" spans="1:8" x14ac:dyDescent="0.3">
      <c r="A223" s="12">
        <v>45994</v>
      </c>
      <c r="B223" s="11" t="s">
        <v>652</v>
      </c>
      <c r="C223" s="11" t="s">
        <v>653</v>
      </c>
      <c r="D223" s="11" t="s">
        <v>654</v>
      </c>
      <c r="E223" s="11" t="s">
        <v>8</v>
      </c>
      <c r="F223" s="12">
        <f t="shared" ca="1" si="6"/>
        <v>46035</v>
      </c>
      <c r="G223" s="11">
        <f ca="1">NETWORKDAYS.INTL(A223,F223,1,'Feriado 2026'!$A$2:$A$14)</f>
        <v>29</v>
      </c>
      <c r="H223" s="11" t="str">
        <f t="shared" ca="1" si="7"/>
        <v>Fora do SLA</v>
      </c>
    </row>
    <row r="224" spans="1:8" x14ac:dyDescent="0.3">
      <c r="A224" s="12">
        <v>45994</v>
      </c>
      <c r="B224" s="11" t="s">
        <v>655</v>
      </c>
      <c r="C224" s="11" t="s">
        <v>656</v>
      </c>
      <c r="D224" s="11" t="s">
        <v>657</v>
      </c>
      <c r="E224" s="11" t="s">
        <v>8</v>
      </c>
      <c r="F224" s="12">
        <f t="shared" ca="1" si="6"/>
        <v>46035</v>
      </c>
      <c r="G224" s="11">
        <f ca="1">NETWORKDAYS.INTL(A224,F224,1,'Feriado 2026'!$A$2:$A$14)</f>
        <v>29</v>
      </c>
      <c r="H224" s="11" t="str">
        <f t="shared" ca="1" si="7"/>
        <v>Fora do SLA</v>
      </c>
    </row>
    <row r="225" spans="1:8" x14ac:dyDescent="0.3">
      <c r="A225" s="12">
        <v>45994</v>
      </c>
      <c r="B225" s="11" t="s">
        <v>658</v>
      </c>
      <c r="C225" s="11" t="s">
        <v>659</v>
      </c>
      <c r="D225" s="11" t="s">
        <v>660</v>
      </c>
      <c r="E225" s="11" t="s">
        <v>24</v>
      </c>
      <c r="F225" s="12">
        <f t="shared" ca="1" si="6"/>
        <v>46035</v>
      </c>
      <c r="G225" s="11">
        <f ca="1">NETWORKDAYS.INTL(A225,F225,1,'Feriado 2026'!$A$2:$A$14)</f>
        <v>29</v>
      </c>
      <c r="H225" s="11" t="str">
        <f t="shared" ca="1" si="7"/>
        <v>Fora do SLA</v>
      </c>
    </row>
    <row r="226" spans="1:8" x14ac:dyDescent="0.3">
      <c r="A226" s="12">
        <v>45994</v>
      </c>
      <c r="B226" s="11" t="s">
        <v>661</v>
      </c>
      <c r="C226" s="11" t="s">
        <v>662</v>
      </c>
      <c r="D226" s="11" t="s">
        <v>663</v>
      </c>
      <c r="E226" s="11" t="s">
        <v>8</v>
      </c>
      <c r="F226" s="12">
        <f t="shared" ca="1" si="6"/>
        <v>46035</v>
      </c>
      <c r="G226" s="11">
        <f ca="1">NETWORKDAYS.INTL(A226,F226,1,'Feriado 2026'!$A$2:$A$14)</f>
        <v>29</v>
      </c>
      <c r="H226" s="11" t="str">
        <f t="shared" ca="1" si="7"/>
        <v>Fora do SLA</v>
      </c>
    </row>
    <row r="227" spans="1:8" x14ac:dyDescent="0.3">
      <c r="A227" s="12">
        <v>45996</v>
      </c>
      <c r="B227" s="11" t="s">
        <v>664</v>
      </c>
      <c r="C227" s="11" t="s">
        <v>665</v>
      </c>
      <c r="D227" s="11" t="s">
        <v>666</v>
      </c>
      <c r="E227" s="11" t="s">
        <v>24</v>
      </c>
      <c r="F227" s="12">
        <f t="shared" ca="1" si="6"/>
        <v>46035</v>
      </c>
      <c r="G227" s="11">
        <f ca="1">NETWORKDAYS.INTL(A227,F227,1,'Feriado 2026'!$A$2:$A$14)</f>
        <v>27</v>
      </c>
      <c r="H227" s="11" t="str">
        <f t="shared" ca="1" si="7"/>
        <v>Fora do SLA</v>
      </c>
    </row>
    <row r="228" spans="1:8" x14ac:dyDescent="0.3">
      <c r="A228" s="12">
        <v>45996</v>
      </c>
      <c r="B228" s="11" t="s">
        <v>667</v>
      </c>
      <c r="C228" s="11" t="s">
        <v>668</v>
      </c>
      <c r="D228" s="11" t="s">
        <v>669</v>
      </c>
      <c r="E228" s="11" t="s">
        <v>8</v>
      </c>
      <c r="F228" s="12">
        <f t="shared" ca="1" si="6"/>
        <v>46035</v>
      </c>
      <c r="G228" s="11">
        <f ca="1">NETWORKDAYS.INTL(A228,F228,1,'Feriado 2026'!$A$2:$A$14)</f>
        <v>27</v>
      </c>
      <c r="H228" s="11" t="str">
        <f t="shared" ca="1" si="7"/>
        <v>Fora do SLA</v>
      </c>
    </row>
    <row r="229" spans="1:8" x14ac:dyDescent="0.3">
      <c r="A229" s="12">
        <v>45996</v>
      </c>
      <c r="B229" s="11" t="s">
        <v>670</v>
      </c>
      <c r="C229" s="11" t="s">
        <v>671</v>
      </c>
      <c r="D229" s="11" t="s">
        <v>672</v>
      </c>
      <c r="E229" s="11" t="s">
        <v>8</v>
      </c>
      <c r="F229" s="12">
        <f t="shared" ca="1" si="6"/>
        <v>46035</v>
      </c>
      <c r="G229" s="11">
        <f ca="1">NETWORKDAYS.INTL(A229,F229,1,'Feriado 2026'!$A$2:$A$14)</f>
        <v>27</v>
      </c>
      <c r="H229" s="11" t="str">
        <f t="shared" ca="1" si="7"/>
        <v>Fora do SLA</v>
      </c>
    </row>
    <row r="230" spans="1:8" x14ac:dyDescent="0.3">
      <c r="A230" s="12">
        <v>45996</v>
      </c>
      <c r="B230" s="11" t="s">
        <v>673</v>
      </c>
      <c r="C230" s="11" t="s">
        <v>674</v>
      </c>
      <c r="D230" s="11" t="s">
        <v>675</v>
      </c>
      <c r="E230" s="11" t="s">
        <v>24</v>
      </c>
      <c r="F230" s="12">
        <f t="shared" ca="1" si="6"/>
        <v>46035</v>
      </c>
      <c r="G230" s="11">
        <f ca="1">NETWORKDAYS.INTL(A230,F230,1,'Feriado 2026'!$A$2:$A$14)</f>
        <v>27</v>
      </c>
      <c r="H230" s="11" t="str">
        <f t="shared" ca="1" si="7"/>
        <v>Fora do SLA</v>
      </c>
    </row>
    <row r="231" spans="1:8" x14ac:dyDescent="0.3">
      <c r="A231" s="12">
        <v>45996</v>
      </c>
      <c r="B231" s="11" t="s">
        <v>676</v>
      </c>
      <c r="C231" s="11" t="s">
        <v>677</v>
      </c>
      <c r="D231" s="11" t="s">
        <v>678</v>
      </c>
      <c r="E231" s="11" t="s">
        <v>8</v>
      </c>
      <c r="F231" s="12">
        <f t="shared" ca="1" si="6"/>
        <v>46035</v>
      </c>
      <c r="G231" s="11">
        <f ca="1">NETWORKDAYS.INTL(A231,F231,1,'Feriado 2026'!$A$2:$A$14)</f>
        <v>27</v>
      </c>
      <c r="H231" s="11" t="str">
        <f t="shared" ca="1" si="7"/>
        <v>Fora do SLA</v>
      </c>
    </row>
    <row r="232" spans="1:8" x14ac:dyDescent="0.3">
      <c r="A232" s="12">
        <v>45996</v>
      </c>
      <c r="B232" s="11" t="s">
        <v>679</v>
      </c>
      <c r="C232" s="11" t="s">
        <v>680</v>
      </c>
      <c r="D232" s="11" t="s">
        <v>681</v>
      </c>
      <c r="E232" s="11" t="s">
        <v>8</v>
      </c>
      <c r="F232" s="12">
        <f t="shared" ca="1" si="6"/>
        <v>46035</v>
      </c>
      <c r="G232" s="11">
        <f ca="1">NETWORKDAYS.INTL(A232,F232,1,'Feriado 2026'!$A$2:$A$14)</f>
        <v>27</v>
      </c>
      <c r="H232" s="11" t="str">
        <f t="shared" ca="1" si="7"/>
        <v>Fora do SLA</v>
      </c>
    </row>
    <row r="233" spans="1:8" x14ac:dyDescent="0.3">
      <c r="A233" s="12">
        <v>45999</v>
      </c>
      <c r="B233" s="11" t="s">
        <v>682</v>
      </c>
      <c r="C233" s="11" t="s">
        <v>683</v>
      </c>
      <c r="D233" s="11" t="s">
        <v>684</v>
      </c>
      <c r="E233" s="11" t="s">
        <v>8</v>
      </c>
      <c r="F233" s="12">
        <f t="shared" ca="1" si="6"/>
        <v>46035</v>
      </c>
      <c r="G233" s="11">
        <f ca="1">NETWORKDAYS.INTL(A233,F233,1,'Feriado 2026'!$A$2:$A$14)</f>
        <v>26</v>
      </c>
      <c r="H233" s="11" t="str">
        <f t="shared" ca="1" si="7"/>
        <v>Fora do SLA</v>
      </c>
    </row>
    <row r="234" spans="1:8" x14ac:dyDescent="0.3">
      <c r="A234" s="12">
        <v>45999</v>
      </c>
      <c r="B234" s="11" t="s">
        <v>685</v>
      </c>
      <c r="C234" s="11" t="s">
        <v>686</v>
      </c>
      <c r="D234" s="11" t="s">
        <v>687</v>
      </c>
      <c r="E234" s="11" t="s">
        <v>24</v>
      </c>
      <c r="F234" s="12">
        <f t="shared" ca="1" si="6"/>
        <v>46035</v>
      </c>
      <c r="G234" s="11">
        <f ca="1">NETWORKDAYS.INTL(A234,F234,1,'Feriado 2026'!$A$2:$A$14)</f>
        <v>26</v>
      </c>
      <c r="H234" s="11" t="str">
        <f t="shared" ca="1" si="7"/>
        <v>Fora do SLA</v>
      </c>
    </row>
    <row r="235" spans="1:8" x14ac:dyDescent="0.3">
      <c r="A235" s="12">
        <v>45999</v>
      </c>
      <c r="B235" s="11" t="s">
        <v>688</v>
      </c>
      <c r="C235" s="11" t="s">
        <v>689</v>
      </c>
      <c r="D235" s="11" t="s">
        <v>690</v>
      </c>
      <c r="E235" s="11" t="s">
        <v>8</v>
      </c>
      <c r="F235" s="12">
        <f t="shared" ca="1" si="6"/>
        <v>46035</v>
      </c>
      <c r="G235" s="11">
        <f ca="1">NETWORKDAYS.INTL(A235,F235,1,'Feriado 2026'!$A$2:$A$14)</f>
        <v>26</v>
      </c>
      <c r="H235" s="11" t="str">
        <f t="shared" ca="1" si="7"/>
        <v>Fora do SLA</v>
      </c>
    </row>
    <row r="236" spans="1:8" x14ac:dyDescent="0.3">
      <c r="A236" s="12">
        <v>45999</v>
      </c>
      <c r="B236" s="11" t="s">
        <v>691</v>
      </c>
      <c r="C236" s="11" t="s">
        <v>692</v>
      </c>
      <c r="D236" s="11" t="s">
        <v>693</v>
      </c>
      <c r="E236" s="11" t="s">
        <v>8</v>
      </c>
      <c r="F236" s="12">
        <f t="shared" ca="1" si="6"/>
        <v>46035</v>
      </c>
      <c r="G236" s="11">
        <f ca="1">NETWORKDAYS.INTL(A236,F236,1,'Feriado 2026'!$A$2:$A$14)</f>
        <v>26</v>
      </c>
      <c r="H236" s="11" t="str">
        <f t="shared" ca="1" si="7"/>
        <v>Fora do SLA</v>
      </c>
    </row>
    <row r="237" spans="1:8" x14ac:dyDescent="0.3">
      <c r="A237" s="12">
        <v>46000</v>
      </c>
      <c r="B237" s="11" t="s">
        <v>694</v>
      </c>
      <c r="C237" s="11" t="s">
        <v>695</v>
      </c>
      <c r="D237" s="11" t="s">
        <v>696</v>
      </c>
      <c r="E237" s="11" t="s">
        <v>8</v>
      </c>
      <c r="F237" s="12">
        <f t="shared" ca="1" si="6"/>
        <v>46035</v>
      </c>
      <c r="G237" s="11">
        <f ca="1">NETWORKDAYS.INTL(A237,F237,1,'Feriado 2026'!$A$2:$A$14)</f>
        <v>25</v>
      </c>
      <c r="H237" s="11" t="str">
        <f t="shared" ca="1" si="7"/>
        <v>Fora do SLA</v>
      </c>
    </row>
    <row r="238" spans="1:8" x14ac:dyDescent="0.3">
      <c r="A238" s="12">
        <v>46000</v>
      </c>
      <c r="B238" s="11" t="s">
        <v>697</v>
      </c>
      <c r="C238" s="11" t="s">
        <v>698</v>
      </c>
      <c r="D238" s="11" t="s">
        <v>699</v>
      </c>
      <c r="E238" s="11" t="s">
        <v>8</v>
      </c>
      <c r="F238" s="12">
        <f t="shared" ca="1" si="6"/>
        <v>46035</v>
      </c>
      <c r="G238" s="11">
        <f ca="1">NETWORKDAYS.INTL(A238,F238,1,'Feriado 2026'!$A$2:$A$14)</f>
        <v>25</v>
      </c>
      <c r="H238" s="11" t="str">
        <f t="shared" ca="1" si="7"/>
        <v>Fora do SLA</v>
      </c>
    </row>
    <row r="239" spans="1:8" x14ac:dyDescent="0.3">
      <c r="A239" s="12">
        <v>46000</v>
      </c>
      <c r="B239" s="11" t="s">
        <v>700</v>
      </c>
      <c r="C239" s="11" t="s">
        <v>701</v>
      </c>
      <c r="D239" s="11" t="s">
        <v>702</v>
      </c>
      <c r="E239" s="11" t="s">
        <v>24</v>
      </c>
      <c r="F239" s="12">
        <f t="shared" ca="1" si="6"/>
        <v>46035</v>
      </c>
      <c r="G239" s="11">
        <f ca="1">NETWORKDAYS.INTL(A239,F239,1,'Feriado 2026'!$A$2:$A$14)</f>
        <v>25</v>
      </c>
      <c r="H239" s="11" t="str">
        <f t="shared" ca="1" si="7"/>
        <v>Fora do SLA</v>
      </c>
    </row>
    <row r="240" spans="1:8" x14ac:dyDescent="0.3">
      <c r="A240" s="12">
        <v>46000</v>
      </c>
      <c r="B240" s="11" t="s">
        <v>703</v>
      </c>
      <c r="C240" s="11" t="s">
        <v>704</v>
      </c>
      <c r="D240" s="11" t="s">
        <v>705</v>
      </c>
      <c r="E240" s="11" t="s">
        <v>24</v>
      </c>
      <c r="F240" s="12">
        <f t="shared" ca="1" si="6"/>
        <v>46035</v>
      </c>
      <c r="G240" s="11">
        <f ca="1">NETWORKDAYS.INTL(A240,F240,1,'Feriado 2026'!$A$2:$A$14)</f>
        <v>25</v>
      </c>
      <c r="H240" s="11" t="str">
        <f t="shared" ca="1" si="7"/>
        <v>Fora do SLA</v>
      </c>
    </row>
    <row r="241" spans="1:8" x14ac:dyDescent="0.3">
      <c r="A241" s="12">
        <v>46001</v>
      </c>
      <c r="B241" s="11" t="s">
        <v>706</v>
      </c>
      <c r="C241" s="11" t="s">
        <v>707</v>
      </c>
      <c r="D241" s="11" t="s">
        <v>708</v>
      </c>
      <c r="E241" s="11" t="s">
        <v>24</v>
      </c>
      <c r="F241" s="12">
        <f t="shared" ca="1" si="6"/>
        <v>46035</v>
      </c>
      <c r="G241" s="11">
        <f ca="1">NETWORKDAYS.INTL(A241,F241,1,'Feriado 2026'!$A$2:$A$14)</f>
        <v>24</v>
      </c>
      <c r="H241" s="11" t="str">
        <f t="shared" ca="1" si="7"/>
        <v>Fora do SLA</v>
      </c>
    </row>
    <row r="242" spans="1:8" x14ac:dyDescent="0.3">
      <c r="A242" s="12">
        <v>46001</v>
      </c>
      <c r="B242" s="11" t="s">
        <v>709</v>
      </c>
      <c r="C242" s="11" t="s">
        <v>710</v>
      </c>
      <c r="D242" s="11" t="s">
        <v>711</v>
      </c>
      <c r="E242" s="11" t="s">
        <v>8</v>
      </c>
      <c r="F242" s="12">
        <f t="shared" ca="1" si="6"/>
        <v>46035</v>
      </c>
      <c r="G242" s="11">
        <f ca="1">NETWORKDAYS.INTL(A242,F242,1,'Feriado 2026'!$A$2:$A$14)</f>
        <v>24</v>
      </c>
      <c r="H242" s="11" t="str">
        <f t="shared" ca="1" si="7"/>
        <v>Fora do SLA</v>
      </c>
    </row>
    <row r="243" spans="1:8" x14ac:dyDescent="0.3">
      <c r="A243" s="12">
        <v>46002</v>
      </c>
      <c r="B243" s="11" t="s">
        <v>712</v>
      </c>
      <c r="C243" s="11" t="s">
        <v>713</v>
      </c>
      <c r="D243" s="11" t="s">
        <v>714</v>
      </c>
      <c r="E243" s="11" t="s">
        <v>24</v>
      </c>
      <c r="F243" s="12">
        <f t="shared" ca="1" si="6"/>
        <v>46035</v>
      </c>
      <c r="G243" s="11">
        <f ca="1">NETWORKDAYS.INTL(A243,F243,1,'Feriado 2026'!$A$2:$A$14)</f>
        <v>23</v>
      </c>
      <c r="H243" s="11" t="str">
        <f t="shared" ca="1" si="7"/>
        <v>Fora do SLA</v>
      </c>
    </row>
    <row r="244" spans="1:8" x14ac:dyDescent="0.3">
      <c r="A244" s="12">
        <v>46002</v>
      </c>
      <c r="B244" s="11" t="s">
        <v>715</v>
      </c>
      <c r="C244" s="11" t="s">
        <v>716</v>
      </c>
      <c r="D244" s="11" t="s">
        <v>717</v>
      </c>
      <c r="E244" s="11" t="s">
        <v>24</v>
      </c>
      <c r="F244" s="12">
        <f t="shared" ca="1" si="6"/>
        <v>46035</v>
      </c>
      <c r="G244" s="11">
        <f ca="1">NETWORKDAYS.INTL(A244,F244,1,'Feriado 2026'!$A$2:$A$14)</f>
        <v>23</v>
      </c>
      <c r="H244" s="11" t="str">
        <f t="shared" ca="1" si="7"/>
        <v>Fora do SLA</v>
      </c>
    </row>
    <row r="245" spans="1:8" x14ac:dyDescent="0.3">
      <c r="A245" s="12">
        <v>46002</v>
      </c>
      <c r="B245" s="11" t="s">
        <v>718</v>
      </c>
      <c r="C245" s="11" t="s">
        <v>719</v>
      </c>
      <c r="D245" s="11" t="s">
        <v>720</v>
      </c>
      <c r="E245" s="11" t="s">
        <v>24</v>
      </c>
      <c r="F245" s="12">
        <f t="shared" ca="1" si="6"/>
        <v>46035</v>
      </c>
      <c r="G245" s="11">
        <f ca="1">NETWORKDAYS.INTL(A245,F245,1,'Feriado 2026'!$A$2:$A$14)</f>
        <v>23</v>
      </c>
      <c r="H245" s="11" t="str">
        <f t="shared" ca="1" si="7"/>
        <v>Fora do SLA</v>
      </c>
    </row>
    <row r="246" spans="1:8" x14ac:dyDescent="0.3">
      <c r="A246" s="12">
        <v>46003</v>
      </c>
      <c r="B246" s="11" t="s">
        <v>721</v>
      </c>
      <c r="C246" s="11" t="s">
        <v>722</v>
      </c>
      <c r="D246" s="11" t="s">
        <v>723</v>
      </c>
      <c r="E246" s="11" t="s">
        <v>8</v>
      </c>
      <c r="F246" s="12">
        <f t="shared" ca="1" si="6"/>
        <v>46035</v>
      </c>
      <c r="G246" s="11">
        <f ca="1">NETWORKDAYS.INTL(A246,F246,1,'Feriado 2026'!$A$2:$A$14)</f>
        <v>22</v>
      </c>
      <c r="H246" s="11" t="str">
        <f t="shared" ca="1" si="7"/>
        <v>Fora do SLA</v>
      </c>
    </row>
    <row r="247" spans="1:8" x14ac:dyDescent="0.3">
      <c r="A247" s="12">
        <v>46003</v>
      </c>
      <c r="B247" s="11" t="s">
        <v>724</v>
      </c>
      <c r="C247" s="11" t="s">
        <v>725</v>
      </c>
      <c r="D247" s="11" t="s">
        <v>726</v>
      </c>
      <c r="E247" s="11" t="s">
        <v>8</v>
      </c>
      <c r="F247" s="12">
        <f t="shared" ca="1" si="6"/>
        <v>46035</v>
      </c>
      <c r="G247" s="11">
        <f ca="1">NETWORKDAYS.INTL(A247,F247,1,'Feriado 2026'!$A$2:$A$14)</f>
        <v>22</v>
      </c>
      <c r="H247" s="11" t="str">
        <f t="shared" ca="1" si="7"/>
        <v>Fora do SLA</v>
      </c>
    </row>
    <row r="248" spans="1:8" x14ac:dyDescent="0.3">
      <c r="A248" s="12">
        <v>46003</v>
      </c>
      <c r="B248" s="11" t="s">
        <v>727</v>
      </c>
      <c r="C248" s="11" t="s">
        <v>728</v>
      </c>
      <c r="D248" s="11" t="s">
        <v>729</v>
      </c>
      <c r="E248" s="11" t="s">
        <v>8</v>
      </c>
      <c r="F248" s="12">
        <f t="shared" ca="1" si="6"/>
        <v>46035</v>
      </c>
      <c r="G248" s="11">
        <f ca="1">NETWORKDAYS.INTL(A248,F248,1,'Feriado 2026'!$A$2:$A$14)</f>
        <v>22</v>
      </c>
      <c r="H248" s="11" t="str">
        <f t="shared" ca="1" si="7"/>
        <v>Fora do SLA</v>
      </c>
    </row>
    <row r="249" spans="1:8" x14ac:dyDescent="0.3">
      <c r="A249" s="12">
        <v>46006</v>
      </c>
      <c r="B249" s="11" t="s">
        <v>730</v>
      </c>
      <c r="C249" s="11" t="s">
        <v>731</v>
      </c>
      <c r="D249" s="11" t="s">
        <v>732</v>
      </c>
      <c r="E249" s="11" t="s">
        <v>24</v>
      </c>
      <c r="F249" s="12">
        <f t="shared" ca="1" si="6"/>
        <v>46035</v>
      </c>
      <c r="G249" s="11">
        <f ca="1">NETWORKDAYS.INTL(A249,F249,1,'Feriado 2026'!$A$2:$A$14)</f>
        <v>21</v>
      </c>
      <c r="H249" s="11" t="str">
        <f t="shared" ca="1" si="7"/>
        <v>Fora do SLA</v>
      </c>
    </row>
    <row r="250" spans="1:8" x14ac:dyDescent="0.3">
      <c r="A250" s="12">
        <v>46006</v>
      </c>
      <c r="B250" s="11" t="s">
        <v>733</v>
      </c>
      <c r="C250" s="11" t="s">
        <v>734</v>
      </c>
      <c r="D250" s="11" t="s">
        <v>735</v>
      </c>
      <c r="E250" s="11" t="s">
        <v>24</v>
      </c>
      <c r="F250" s="12">
        <f t="shared" ca="1" si="6"/>
        <v>46035</v>
      </c>
      <c r="G250" s="11">
        <f ca="1">NETWORKDAYS.INTL(A250,F250,1,'Feriado 2026'!$A$2:$A$14)</f>
        <v>21</v>
      </c>
      <c r="H250" s="11" t="str">
        <f t="shared" ca="1" si="7"/>
        <v>Fora do SLA</v>
      </c>
    </row>
    <row r="251" spans="1:8" x14ac:dyDescent="0.3">
      <c r="A251" s="12">
        <v>46006</v>
      </c>
      <c r="B251" s="11" t="s">
        <v>736</v>
      </c>
      <c r="C251" s="11" t="s">
        <v>737</v>
      </c>
      <c r="D251" s="11" t="s">
        <v>738</v>
      </c>
      <c r="E251" s="11" t="s">
        <v>8</v>
      </c>
      <c r="F251" s="12">
        <f t="shared" ca="1" si="6"/>
        <v>46035</v>
      </c>
      <c r="G251" s="11">
        <f ca="1">NETWORKDAYS.INTL(A251,F251,1,'Feriado 2026'!$A$2:$A$14)</f>
        <v>21</v>
      </c>
      <c r="H251" s="11" t="str">
        <f t="shared" ca="1" si="7"/>
        <v>Fora do SLA</v>
      </c>
    </row>
    <row r="252" spans="1:8" x14ac:dyDescent="0.3">
      <c r="A252" s="12">
        <v>46006</v>
      </c>
      <c r="B252" s="11" t="s">
        <v>739</v>
      </c>
      <c r="C252" s="11" t="s">
        <v>740</v>
      </c>
      <c r="D252" s="11" t="s">
        <v>741</v>
      </c>
      <c r="E252" s="11" t="s">
        <v>24</v>
      </c>
      <c r="F252" s="12">
        <f t="shared" ca="1" si="6"/>
        <v>46035</v>
      </c>
      <c r="G252" s="11">
        <f ca="1">NETWORKDAYS.INTL(A252,F252,1,'Feriado 2026'!$A$2:$A$14)</f>
        <v>21</v>
      </c>
      <c r="H252" s="11" t="str">
        <f t="shared" ca="1" si="7"/>
        <v>Fora do SLA</v>
      </c>
    </row>
    <row r="253" spans="1:8" x14ac:dyDescent="0.3">
      <c r="A253" s="12">
        <v>46006</v>
      </c>
      <c r="B253" s="11" t="s">
        <v>742</v>
      </c>
      <c r="C253" s="11" t="s">
        <v>743</v>
      </c>
      <c r="D253" s="11" t="s">
        <v>744</v>
      </c>
      <c r="E253" s="11" t="s">
        <v>8</v>
      </c>
      <c r="F253" s="12">
        <f t="shared" ca="1" si="6"/>
        <v>46035</v>
      </c>
      <c r="G253" s="11">
        <f ca="1">NETWORKDAYS.INTL(A253,F253,1,'Feriado 2026'!$A$2:$A$14)</f>
        <v>21</v>
      </c>
      <c r="H253" s="11" t="str">
        <f t="shared" ca="1" si="7"/>
        <v>Fora do SLA</v>
      </c>
    </row>
    <row r="254" spans="1:8" x14ac:dyDescent="0.3">
      <c r="A254" s="12">
        <v>46006</v>
      </c>
      <c r="B254" s="11" t="s">
        <v>745</v>
      </c>
      <c r="C254" s="11" t="s">
        <v>746</v>
      </c>
      <c r="D254" s="11" t="s">
        <v>747</v>
      </c>
      <c r="E254" s="11" t="s">
        <v>24</v>
      </c>
      <c r="F254" s="12">
        <f t="shared" ca="1" si="6"/>
        <v>46035</v>
      </c>
      <c r="G254" s="11">
        <f ca="1">NETWORKDAYS.INTL(A254,F254,1,'Feriado 2026'!$A$2:$A$14)</f>
        <v>21</v>
      </c>
      <c r="H254" s="11" t="str">
        <f t="shared" ca="1" si="7"/>
        <v>Fora do SLA</v>
      </c>
    </row>
    <row r="255" spans="1:8" x14ac:dyDescent="0.3">
      <c r="A255" s="12">
        <v>46006</v>
      </c>
      <c r="B255" s="11" t="s">
        <v>748</v>
      </c>
      <c r="C255" s="11" t="s">
        <v>749</v>
      </c>
      <c r="D255" s="11" t="s">
        <v>750</v>
      </c>
      <c r="E255" s="11" t="s">
        <v>8</v>
      </c>
      <c r="F255" s="12">
        <f t="shared" ca="1" si="6"/>
        <v>46035</v>
      </c>
      <c r="G255" s="11">
        <f ca="1">NETWORKDAYS.INTL(A255,F255,1,'Feriado 2026'!$A$2:$A$14)</f>
        <v>21</v>
      </c>
      <c r="H255" s="11" t="str">
        <f t="shared" ca="1" si="7"/>
        <v>Fora do SLA</v>
      </c>
    </row>
    <row r="256" spans="1:8" x14ac:dyDescent="0.3">
      <c r="A256" s="12">
        <v>46006</v>
      </c>
      <c r="B256" s="11" t="s">
        <v>751</v>
      </c>
      <c r="C256" s="11" t="s">
        <v>752</v>
      </c>
      <c r="D256" s="11" t="s">
        <v>753</v>
      </c>
      <c r="E256" s="11" t="s">
        <v>8</v>
      </c>
      <c r="F256" s="12">
        <f t="shared" ca="1" si="6"/>
        <v>46035</v>
      </c>
      <c r="G256" s="11">
        <f ca="1">NETWORKDAYS.INTL(A256,F256,1,'Feriado 2026'!$A$2:$A$14)</f>
        <v>21</v>
      </c>
      <c r="H256" s="11" t="str">
        <f t="shared" ca="1" si="7"/>
        <v>Fora do SLA</v>
      </c>
    </row>
    <row r="257" spans="1:8" x14ac:dyDescent="0.3">
      <c r="A257" s="12">
        <v>46006</v>
      </c>
      <c r="B257" s="11" t="s">
        <v>754</v>
      </c>
      <c r="C257" s="11" t="s">
        <v>755</v>
      </c>
      <c r="D257" s="11" t="s">
        <v>756</v>
      </c>
      <c r="E257" s="11" t="s">
        <v>8</v>
      </c>
      <c r="F257" s="12">
        <f t="shared" ca="1" si="6"/>
        <v>46035</v>
      </c>
      <c r="G257" s="11">
        <f ca="1">NETWORKDAYS.INTL(A257,F257,1,'Feriado 2026'!$A$2:$A$14)</f>
        <v>21</v>
      </c>
      <c r="H257" s="11" t="str">
        <f t="shared" ca="1" si="7"/>
        <v>Fora do SLA</v>
      </c>
    </row>
    <row r="258" spans="1:8" x14ac:dyDescent="0.3">
      <c r="A258" s="12">
        <v>46006</v>
      </c>
      <c r="B258" s="11" t="s">
        <v>757</v>
      </c>
      <c r="C258" s="11" t="s">
        <v>758</v>
      </c>
      <c r="D258" s="11" t="s">
        <v>759</v>
      </c>
      <c r="E258" s="11" t="s">
        <v>8</v>
      </c>
      <c r="F258" s="12">
        <f t="shared" ca="1" si="6"/>
        <v>46035</v>
      </c>
      <c r="G258" s="11">
        <f ca="1">NETWORKDAYS.INTL(A258,F258,1,'Feriado 2026'!$A$2:$A$14)</f>
        <v>21</v>
      </c>
      <c r="H258" s="11" t="str">
        <f t="shared" ca="1" si="7"/>
        <v>Fora do SLA</v>
      </c>
    </row>
    <row r="259" spans="1:8" x14ac:dyDescent="0.3">
      <c r="A259" s="12">
        <v>46006</v>
      </c>
      <c r="B259" s="11" t="s">
        <v>760</v>
      </c>
      <c r="C259" s="11" t="s">
        <v>761</v>
      </c>
      <c r="D259" s="11" t="s">
        <v>762</v>
      </c>
      <c r="E259" s="11" t="s">
        <v>8</v>
      </c>
      <c r="F259" s="12">
        <f t="shared" ref="F259:F322" ca="1" si="8">TODAY()</f>
        <v>46035</v>
      </c>
      <c r="G259" s="11">
        <f ca="1">NETWORKDAYS.INTL(A259,F259,1,'Feriado 2026'!$A$2:$A$14)</f>
        <v>21</v>
      </c>
      <c r="H259" s="11" t="str">
        <f t="shared" ref="H259:H322" ca="1" si="9">IF(G259&lt;=2,"Dentro do SLA","Fora do SLA")</f>
        <v>Fora do SLA</v>
      </c>
    </row>
    <row r="260" spans="1:8" x14ac:dyDescent="0.3">
      <c r="A260" s="12">
        <v>46006</v>
      </c>
      <c r="B260" s="11" t="s">
        <v>763</v>
      </c>
      <c r="C260" s="11" t="s">
        <v>764</v>
      </c>
      <c r="D260" s="11" t="s">
        <v>765</v>
      </c>
      <c r="E260" s="11" t="s">
        <v>24</v>
      </c>
      <c r="F260" s="12">
        <f t="shared" ca="1" si="8"/>
        <v>46035</v>
      </c>
      <c r="G260" s="11">
        <f ca="1">NETWORKDAYS.INTL(A260,F260,1,'Feriado 2026'!$A$2:$A$14)</f>
        <v>21</v>
      </c>
      <c r="H260" s="11" t="str">
        <f t="shared" ca="1" si="9"/>
        <v>Fora do SLA</v>
      </c>
    </row>
    <row r="261" spans="1:8" x14ac:dyDescent="0.3">
      <c r="A261" s="12">
        <v>46006</v>
      </c>
      <c r="B261" s="11" t="s">
        <v>766</v>
      </c>
      <c r="C261" s="11" t="s">
        <v>767</v>
      </c>
      <c r="D261" s="11" t="s">
        <v>768</v>
      </c>
      <c r="E261" s="11" t="s">
        <v>24</v>
      </c>
      <c r="F261" s="12">
        <f t="shared" ca="1" si="8"/>
        <v>46035</v>
      </c>
      <c r="G261" s="11">
        <f ca="1">NETWORKDAYS.INTL(A261,F261,1,'Feriado 2026'!$A$2:$A$14)</f>
        <v>21</v>
      </c>
      <c r="H261" s="11" t="str">
        <f t="shared" ca="1" si="9"/>
        <v>Fora do SLA</v>
      </c>
    </row>
    <row r="262" spans="1:8" x14ac:dyDescent="0.3">
      <c r="A262" s="12">
        <v>46006</v>
      </c>
      <c r="B262" s="11" t="s">
        <v>769</v>
      </c>
      <c r="C262" s="11" t="s">
        <v>770</v>
      </c>
      <c r="D262" s="11" t="s">
        <v>771</v>
      </c>
      <c r="E262" s="11" t="s">
        <v>8</v>
      </c>
      <c r="F262" s="12">
        <f t="shared" ca="1" si="8"/>
        <v>46035</v>
      </c>
      <c r="G262" s="11">
        <f ca="1">NETWORKDAYS.INTL(A262,F262,1,'Feriado 2026'!$A$2:$A$14)</f>
        <v>21</v>
      </c>
      <c r="H262" s="11" t="str">
        <f t="shared" ca="1" si="9"/>
        <v>Fora do SLA</v>
      </c>
    </row>
    <row r="263" spans="1:8" x14ac:dyDescent="0.3">
      <c r="A263" s="12">
        <v>46006</v>
      </c>
      <c r="B263" s="11" t="s">
        <v>772</v>
      </c>
      <c r="C263" s="11" t="s">
        <v>773</v>
      </c>
      <c r="D263" s="11" t="s">
        <v>774</v>
      </c>
      <c r="E263" s="11" t="s">
        <v>24</v>
      </c>
      <c r="F263" s="12">
        <f t="shared" ca="1" si="8"/>
        <v>46035</v>
      </c>
      <c r="G263" s="11">
        <f ca="1">NETWORKDAYS.INTL(A263,F263,1,'Feriado 2026'!$A$2:$A$14)</f>
        <v>21</v>
      </c>
      <c r="H263" s="11" t="str">
        <f t="shared" ca="1" si="9"/>
        <v>Fora do SLA</v>
      </c>
    </row>
    <row r="264" spans="1:8" x14ac:dyDescent="0.3">
      <c r="A264" s="12">
        <v>46006</v>
      </c>
      <c r="B264" s="11" t="s">
        <v>775</v>
      </c>
      <c r="C264" s="11" t="s">
        <v>776</v>
      </c>
      <c r="D264" s="11" t="s">
        <v>777</v>
      </c>
      <c r="E264" s="11" t="s">
        <v>8</v>
      </c>
      <c r="F264" s="12">
        <f t="shared" ca="1" si="8"/>
        <v>46035</v>
      </c>
      <c r="G264" s="11">
        <f ca="1">NETWORKDAYS.INTL(A264,F264,1,'Feriado 2026'!$A$2:$A$14)</f>
        <v>21</v>
      </c>
      <c r="H264" s="11" t="str">
        <f t="shared" ca="1" si="9"/>
        <v>Fora do SLA</v>
      </c>
    </row>
    <row r="265" spans="1:8" x14ac:dyDescent="0.3">
      <c r="A265" s="12">
        <v>46006</v>
      </c>
      <c r="B265" s="11" t="s">
        <v>778</v>
      </c>
      <c r="C265" s="11" t="s">
        <v>779</v>
      </c>
      <c r="D265" s="11" t="s">
        <v>780</v>
      </c>
      <c r="E265" s="11" t="s">
        <v>24</v>
      </c>
      <c r="F265" s="12">
        <f t="shared" ca="1" si="8"/>
        <v>46035</v>
      </c>
      <c r="G265" s="11">
        <f ca="1">NETWORKDAYS.INTL(A265,F265,1,'Feriado 2026'!$A$2:$A$14)</f>
        <v>21</v>
      </c>
      <c r="H265" s="11" t="str">
        <f t="shared" ca="1" si="9"/>
        <v>Fora do SLA</v>
      </c>
    </row>
    <row r="266" spans="1:8" x14ac:dyDescent="0.3">
      <c r="A266" s="12">
        <v>46007</v>
      </c>
      <c r="B266" s="11" t="s">
        <v>781</v>
      </c>
      <c r="C266" s="11" t="s">
        <v>782</v>
      </c>
      <c r="D266" s="11" t="s">
        <v>783</v>
      </c>
      <c r="E266" s="11" t="s">
        <v>8</v>
      </c>
      <c r="F266" s="12">
        <f t="shared" ca="1" si="8"/>
        <v>46035</v>
      </c>
      <c r="G266" s="11">
        <f ca="1">NETWORKDAYS.INTL(A266,F266,1,'Feriado 2026'!$A$2:$A$14)</f>
        <v>20</v>
      </c>
      <c r="H266" s="11" t="str">
        <f t="shared" ca="1" si="9"/>
        <v>Fora do SLA</v>
      </c>
    </row>
    <row r="267" spans="1:8" x14ac:dyDescent="0.3">
      <c r="A267" s="12">
        <v>46007</v>
      </c>
      <c r="B267" s="11" t="s">
        <v>784</v>
      </c>
      <c r="C267" s="11" t="s">
        <v>785</v>
      </c>
      <c r="D267" s="11" t="s">
        <v>786</v>
      </c>
      <c r="E267" s="11" t="s">
        <v>8</v>
      </c>
      <c r="F267" s="12">
        <f t="shared" ca="1" si="8"/>
        <v>46035</v>
      </c>
      <c r="G267" s="11">
        <f ca="1">NETWORKDAYS.INTL(A267,F267,1,'Feriado 2026'!$A$2:$A$14)</f>
        <v>20</v>
      </c>
      <c r="H267" s="11" t="str">
        <f t="shared" ca="1" si="9"/>
        <v>Fora do SLA</v>
      </c>
    </row>
    <row r="268" spans="1:8" x14ac:dyDescent="0.3">
      <c r="A268" s="12">
        <v>46007</v>
      </c>
      <c r="B268" s="11" t="s">
        <v>787</v>
      </c>
      <c r="C268" s="11" t="s">
        <v>788</v>
      </c>
      <c r="D268" s="11" t="s">
        <v>789</v>
      </c>
      <c r="E268" s="11" t="s">
        <v>8</v>
      </c>
      <c r="F268" s="12">
        <f t="shared" ca="1" si="8"/>
        <v>46035</v>
      </c>
      <c r="G268" s="11">
        <f ca="1">NETWORKDAYS.INTL(A268,F268,1,'Feriado 2026'!$A$2:$A$14)</f>
        <v>20</v>
      </c>
      <c r="H268" s="11" t="str">
        <f t="shared" ca="1" si="9"/>
        <v>Fora do SLA</v>
      </c>
    </row>
    <row r="269" spans="1:8" x14ac:dyDescent="0.3">
      <c r="A269" s="12">
        <v>46007</v>
      </c>
      <c r="B269" s="11" t="s">
        <v>790</v>
      </c>
      <c r="C269" s="11" t="s">
        <v>791</v>
      </c>
      <c r="D269" s="11" t="s">
        <v>792</v>
      </c>
      <c r="E269" s="11" t="s">
        <v>8</v>
      </c>
      <c r="F269" s="12">
        <f t="shared" ca="1" si="8"/>
        <v>46035</v>
      </c>
      <c r="G269" s="11">
        <f ca="1">NETWORKDAYS.INTL(A269,F269,1,'Feriado 2026'!$A$2:$A$14)</f>
        <v>20</v>
      </c>
      <c r="H269" s="11" t="str">
        <f t="shared" ca="1" si="9"/>
        <v>Fora do SLA</v>
      </c>
    </row>
    <row r="270" spans="1:8" x14ac:dyDescent="0.3">
      <c r="A270" s="12">
        <v>46010</v>
      </c>
      <c r="B270" s="11" t="s">
        <v>793</v>
      </c>
      <c r="C270" s="11" t="s">
        <v>794</v>
      </c>
      <c r="D270" s="11" t="s">
        <v>795</v>
      </c>
      <c r="E270" s="11" t="s">
        <v>24</v>
      </c>
      <c r="F270" s="12">
        <f t="shared" ca="1" si="8"/>
        <v>46035</v>
      </c>
      <c r="G270" s="11">
        <f ca="1">NETWORKDAYS.INTL(A270,F270,1,'Feriado 2026'!$A$2:$A$14)</f>
        <v>17</v>
      </c>
      <c r="H270" s="11" t="str">
        <f t="shared" ca="1" si="9"/>
        <v>Fora do SLA</v>
      </c>
    </row>
    <row r="271" spans="1:8" x14ac:dyDescent="0.3">
      <c r="A271" s="12">
        <v>46010</v>
      </c>
      <c r="B271" s="11" t="s">
        <v>796</v>
      </c>
      <c r="C271" s="11" t="s">
        <v>797</v>
      </c>
      <c r="D271" s="11" t="s">
        <v>798</v>
      </c>
      <c r="E271" s="11" t="s">
        <v>8</v>
      </c>
      <c r="F271" s="12">
        <f t="shared" ca="1" si="8"/>
        <v>46035</v>
      </c>
      <c r="G271" s="11">
        <f ca="1">NETWORKDAYS.INTL(A271,F271,1,'Feriado 2026'!$A$2:$A$14)</f>
        <v>17</v>
      </c>
      <c r="H271" s="11" t="str">
        <f t="shared" ca="1" si="9"/>
        <v>Fora do SLA</v>
      </c>
    </row>
    <row r="272" spans="1:8" x14ac:dyDescent="0.3">
      <c r="A272" s="12">
        <v>46013</v>
      </c>
      <c r="B272" s="11" t="s">
        <v>799</v>
      </c>
      <c r="C272" s="11" t="s">
        <v>800</v>
      </c>
      <c r="D272" s="11" t="s">
        <v>801</v>
      </c>
      <c r="E272" s="11" t="s">
        <v>8</v>
      </c>
      <c r="F272" s="12">
        <f t="shared" ca="1" si="8"/>
        <v>46035</v>
      </c>
      <c r="G272" s="11">
        <f ca="1">NETWORKDAYS.INTL(A272,F272,1,'Feriado 2026'!$A$2:$A$14)</f>
        <v>16</v>
      </c>
      <c r="H272" s="11" t="str">
        <f t="shared" ca="1" si="9"/>
        <v>Fora do SLA</v>
      </c>
    </row>
    <row r="273" spans="1:8" x14ac:dyDescent="0.3">
      <c r="A273" s="12">
        <v>46013</v>
      </c>
      <c r="B273" s="11" t="s">
        <v>673</v>
      </c>
      <c r="C273" s="11" t="s">
        <v>802</v>
      </c>
      <c r="D273" s="11" t="s">
        <v>675</v>
      </c>
      <c r="E273" s="11" t="s">
        <v>24</v>
      </c>
      <c r="F273" s="12">
        <f t="shared" ca="1" si="8"/>
        <v>46035</v>
      </c>
      <c r="G273" s="11">
        <f ca="1">NETWORKDAYS.INTL(A273,F273,1,'Feriado 2026'!$A$2:$A$14)</f>
        <v>16</v>
      </c>
      <c r="H273" s="11" t="str">
        <f t="shared" ca="1" si="9"/>
        <v>Fora do SLA</v>
      </c>
    </row>
    <row r="274" spans="1:8" x14ac:dyDescent="0.3">
      <c r="A274" s="12">
        <v>46013</v>
      </c>
      <c r="B274" s="11" t="s">
        <v>803</v>
      </c>
      <c r="C274" s="11" t="s">
        <v>804</v>
      </c>
      <c r="D274" s="11" t="s">
        <v>805</v>
      </c>
      <c r="E274" s="11" t="s">
        <v>24</v>
      </c>
      <c r="F274" s="12">
        <f t="shared" ca="1" si="8"/>
        <v>46035</v>
      </c>
      <c r="G274" s="11">
        <f ca="1">NETWORKDAYS.INTL(A274,F274,1,'Feriado 2026'!$A$2:$A$14)</f>
        <v>16</v>
      </c>
      <c r="H274" s="11" t="str">
        <f t="shared" ca="1" si="9"/>
        <v>Fora do SLA</v>
      </c>
    </row>
    <row r="275" spans="1:8" x14ac:dyDescent="0.3">
      <c r="A275" s="12">
        <v>46013</v>
      </c>
      <c r="B275" s="11" t="s">
        <v>806</v>
      </c>
      <c r="C275" s="11" t="s">
        <v>807</v>
      </c>
      <c r="D275" s="11" t="s">
        <v>808</v>
      </c>
      <c r="E275" s="11" t="s">
        <v>24</v>
      </c>
      <c r="F275" s="12">
        <f t="shared" ca="1" si="8"/>
        <v>46035</v>
      </c>
      <c r="G275" s="11">
        <f ca="1">NETWORKDAYS.INTL(A275,F275,1,'Feriado 2026'!$A$2:$A$14)</f>
        <v>16</v>
      </c>
      <c r="H275" s="11" t="str">
        <f t="shared" ca="1" si="9"/>
        <v>Fora do SLA</v>
      </c>
    </row>
    <row r="276" spans="1:8" x14ac:dyDescent="0.3">
      <c r="A276" s="12">
        <v>46013</v>
      </c>
      <c r="B276" s="11" t="s">
        <v>809</v>
      </c>
      <c r="C276" s="11" t="s">
        <v>810</v>
      </c>
      <c r="D276" s="11" t="s">
        <v>811</v>
      </c>
      <c r="E276" s="11" t="s">
        <v>8</v>
      </c>
      <c r="F276" s="12">
        <f t="shared" ca="1" si="8"/>
        <v>46035</v>
      </c>
      <c r="G276" s="11">
        <f ca="1">NETWORKDAYS.INTL(A276,F276,1,'Feriado 2026'!$A$2:$A$14)</f>
        <v>16</v>
      </c>
      <c r="H276" s="11" t="str">
        <f t="shared" ca="1" si="9"/>
        <v>Fora do SLA</v>
      </c>
    </row>
    <row r="277" spans="1:8" x14ac:dyDescent="0.3">
      <c r="A277" s="12">
        <v>46014</v>
      </c>
      <c r="B277" s="11" t="s">
        <v>812</v>
      </c>
      <c r="C277" s="11" t="s">
        <v>813</v>
      </c>
      <c r="D277" s="11" t="s">
        <v>814</v>
      </c>
      <c r="E277" s="11" t="s">
        <v>8</v>
      </c>
      <c r="F277" s="12">
        <f t="shared" ca="1" si="8"/>
        <v>46035</v>
      </c>
      <c r="G277" s="11">
        <f ca="1">NETWORKDAYS.INTL(A277,F277,1,'Feriado 2026'!$A$2:$A$14)</f>
        <v>15</v>
      </c>
      <c r="H277" s="11" t="str">
        <f t="shared" ca="1" si="9"/>
        <v>Fora do SLA</v>
      </c>
    </row>
    <row r="278" spans="1:8" x14ac:dyDescent="0.3">
      <c r="A278" s="12">
        <v>46014</v>
      </c>
      <c r="B278" s="11" t="s">
        <v>815</v>
      </c>
      <c r="C278" s="11" t="s">
        <v>816</v>
      </c>
      <c r="D278" s="11" t="s">
        <v>817</v>
      </c>
      <c r="E278" s="11" t="s">
        <v>8</v>
      </c>
      <c r="F278" s="12">
        <f t="shared" ca="1" si="8"/>
        <v>46035</v>
      </c>
      <c r="G278" s="11">
        <f ca="1">NETWORKDAYS.INTL(A278,F278,1,'Feriado 2026'!$A$2:$A$14)</f>
        <v>15</v>
      </c>
      <c r="H278" s="11" t="str">
        <f t="shared" ca="1" si="9"/>
        <v>Fora do SLA</v>
      </c>
    </row>
    <row r="279" spans="1:8" x14ac:dyDescent="0.3">
      <c r="A279" s="12">
        <v>46014</v>
      </c>
      <c r="B279" s="11" t="s">
        <v>818</v>
      </c>
      <c r="C279" s="11" t="s">
        <v>819</v>
      </c>
      <c r="D279" s="11" t="s">
        <v>820</v>
      </c>
      <c r="E279" s="11" t="s">
        <v>8</v>
      </c>
      <c r="F279" s="12">
        <f t="shared" ca="1" si="8"/>
        <v>46035</v>
      </c>
      <c r="G279" s="11">
        <f ca="1">NETWORKDAYS.INTL(A279,F279,1,'Feriado 2026'!$A$2:$A$14)</f>
        <v>15</v>
      </c>
      <c r="H279" s="11" t="str">
        <f t="shared" ca="1" si="9"/>
        <v>Fora do SLA</v>
      </c>
    </row>
    <row r="280" spans="1:8" x14ac:dyDescent="0.3">
      <c r="A280" s="12">
        <v>46014</v>
      </c>
      <c r="B280" s="11" t="s">
        <v>821</v>
      </c>
      <c r="C280" s="11" t="s">
        <v>822</v>
      </c>
      <c r="D280" s="11" t="s">
        <v>823</v>
      </c>
      <c r="E280" s="11" t="s">
        <v>8</v>
      </c>
      <c r="F280" s="12">
        <f t="shared" ca="1" si="8"/>
        <v>46035</v>
      </c>
      <c r="G280" s="11">
        <f ca="1">NETWORKDAYS.INTL(A280,F280,1,'Feriado 2026'!$A$2:$A$14)</f>
        <v>15</v>
      </c>
      <c r="H280" s="11" t="str">
        <f t="shared" ca="1" si="9"/>
        <v>Fora do SLA</v>
      </c>
    </row>
    <row r="281" spans="1:8" x14ac:dyDescent="0.3">
      <c r="A281" s="12">
        <v>46020</v>
      </c>
      <c r="B281" s="11" t="s">
        <v>824</v>
      </c>
      <c r="C281" s="11" t="s">
        <v>825</v>
      </c>
      <c r="D281" s="11" t="s">
        <v>826</v>
      </c>
      <c r="E281" s="11" t="s">
        <v>8</v>
      </c>
      <c r="F281" s="12">
        <f t="shared" ca="1" si="8"/>
        <v>46035</v>
      </c>
      <c r="G281" s="11">
        <f ca="1">NETWORKDAYS.INTL(A281,F281,1,'Feriado 2026'!$A$2:$A$14)</f>
        <v>12</v>
      </c>
      <c r="H281" s="11" t="str">
        <f t="shared" ca="1" si="9"/>
        <v>Fora do SLA</v>
      </c>
    </row>
    <row r="282" spans="1:8" x14ac:dyDescent="0.3">
      <c r="A282" s="12">
        <v>46020</v>
      </c>
      <c r="B282" s="11" t="s">
        <v>827</v>
      </c>
      <c r="C282" s="11" t="s">
        <v>828</v>
      </c>
      <c r="D282" s="11" t="s">
        <v>829</v>
      </c>
      <c r="E282" s="11" t="s">
        <v>24</v>
      </c>
      <c r="F282" s="12">
        <f t="shared" ca="1" si="8"/>
        <v>46035</v>
      </c>
      <c r="G282" s="11">
        <f ca="1">NETWORKDAYS.INTL(A282,F282,1,'Feriado 2026'!$A$2:$A$14)</f>
        <v>12</v>
      </c>
      <c r="H282" s="11" t="str">
        <f t="shared" ca="1" si="9"/>
        <v>Fora do SLA</v>
      </c>
    </row>
    <row r="283" spans="1:8" x14ac:dyDescent="0.3">
      <c r="A283" s="12">
        <v>46020</v>
      </c>
      <c r="B283" s="11" t="s">
        <v>830</v>
      </c>
      <c r="C283" s="11" t="s">
        <v>831</v>
      </c>
      <c r="D283" s="11" t="s">
        <v>832</v>
      </c>
      <c r="E283" s="11" t="s">
        <v>8</v>
      </c>
      <c r="F283" s="12">
        <f t="shared" ca="1" si="8"/>
        <v>46035</v>
      </c>
      <c r="G283" s="11">
        <f ca="1">NETWORKDAYS.INTL(A283,F283,1,'Feriado 2026'!$A$2:$A$14)</f>
        <v>12</v>
      </c>
      <c r="H283" s="11" t="str">
        <f t="shared" ca="1" si="9"/>
        <v>Fora do SLA</v>
      </c>
    </row>
    <row r="284" spans="1:8" x14ac:dyDescent="0.3">
      <c r="A284" s="12">
        <v>46020</v>
      </c>
      <c r="B284" s="11" t="s">
        <v>833</v>
      </c>
      <c r="C284" s="11" t="s">
        <v>834</v>
      </c>
      <c r="D284" s="11" t="s">
        <v>835</v>
      </c>
      <c r="E284" s="11" t="s">
        <v>24</v>
      </c>
      <c r="F284" s="12">
        <f t="shared" ca="1" si="8"/>
        <v>46035</v>
      </c>
      <c r="G284" s="11">
        <f ca="1">NETWORKDAYS.INTL(A284,F284,1,'Feriado 2026'!$A$2:$A$14)</f>
        <v>12</v>
      </c>
      <c r="H284" s="11" t="str">
        <f t="shared" ca="1" si="9"/>
        <v>Fora do SLA</v>
      </c>
    </row>
    <row r="285" spans="1:8" x14ac:dyDescent="0.3">
      <c r="A285" s="12">
        <v>46020</v>
      </c>
      <c r="B285" s="11" t="s">
        <v>836</v>
      </c>
      <c r="C285" s="11" t="s">
        <v>837</v>
      </c>
      <c r="D285" s="11" t="s">
        <v>838</v>
      </c>
      <c r="E285" s="11" t="s">
        <v>8</v>
      </c>
      <c r="F285" s="12">
        <f t="shared" ca="1" si="8"/>
        <v>46035</v>
      </c>
      <c r="G285" s="11">
        <f ca="1">NETWORKDAYS.INTL(A285,F285,1,'Feriado 2026'!$A$2:$A$14)</f>
        <v>12</v>
      </c>
      <c r="H285" s="11" t="str">
        <f t="shared" ca="1" si="9"/>
        <v>Fora do SLA</v>
      </c>
    </row>
    <row r="286" spans="1:8" x14ac:dyDescent="0.3">
      <c r="A286" s="12">
        <v>46020</v>
      </c>
      <c r="B286" s="11" t="s">
        <v>839</v>
      </c>
      <c r="C286" s="11" t="s">
        <v>840</v>
      </c>
      <c r="D286" s="11" t="s">
        <v>841</v>
      </c>
      <c r="E286" s="11" t="s">
        <v>24</v>
      </c>
      <c r="F286" s="12">
        <f t="shared" ca="1" si="8"/>
        <v>46035</v>
      </c>
      <c r="G286" s="11">
        <f ca="1">NETWORKDAYS.INTL(A286,F286,1,'Feriado 2026'!$A$2:$A$14)</f>
        <v>12</v>
      </c>
      <c r="H286" s="11" t="str">
        <f t="shared" ca="1" si="9"/>
        <v>Fora do SLA</v>
      </c>
    </row>
    <row r="287" spans="1:8" x14ac:dyDescent="0.3">
      <c r="A287" s="12">
        <v>46020</v>
      </c>
      <c r="B287" s="11" t="s">
        <v>842</v>
      </c>
      <c r="C287" s="11" t="s">
        <v>843</v>
      </c>
      <c r="D287" s="11" t="s">
        <v>844</v>
      </c>
      <c r="E287" s="11" t="s">
        <v>24</v>
      </c>
      <c r="F287" s="12">
        <f t="shared" ca="1" si="8"/>
        <v>46035</v>
      </c>
      <c r="G287" s="11">
        <f ca="1">NETWORKDAYS.INTL(A287,F287,1,'Feriado 2026'!$A$2:$A$14)</f>
        <v>12</v>
      </c>
      <c r="H287" s="11" t="str">
        <f t="shared" ca="1" si="9"/>
        <v>Fora do SLA</v>
      </c>
    </row>
    <row r="288" spans="1:8" x14ac:dyDescent="0.3">
      <c r="A288" s="12">
        <v>46020</v>
      </c>
      <c r="B288" s="11" t="s">
        <v>845</v>
      </c>
      <c r="C288" s="11" t="s">
        <v>846</v>
      </c>
      <c r="D288" s="11" t="s">
        <v>847</v>
      </c>
      <c r="E288" s="11" t="s">
        <v>24</v>
      </c>
      <c r="F288" s="12">
        <f t="shared" ca="1" si="8"/>
        <v>46035</v>
      </c>
      <c r="G288" s="11">
        <f ca="1">NETWORKDAYS.INTL(A288,F288,1,'Feriado 2026'!$A$2:$A$14)</f>
        <v>12</v>
      </c>
      <c r="H288" s="11" t="str">
        <f t="shared" ca="1" si="9"/>
        <v>Fora do SLA</v>
      </c>
    </row>
    <row r="289" spans="1:8" x14ac:dyDescent="0.3">
      <c r="A289" s="12">
        <v>46020</v>
      </c>
      <c r="B289" s="11" t="s">
        <v>848</v>
      </c>
      <c r="C289" s="11" t="s">
        <v>849</v>
      </c>
      <c r="D289" s="11" t="s">
        <v>850</v>
      </c>
      <c r="E289" s="11" t="s">
        <v>24</v>
      </c>
      <c r="F289" s="12">
        <f t="shared" ca="1" si="8"/>
        <v>46035</v>
      </c>
      <c r="G289" s="11">
        <f ca="1">NETWORKDAYS.INTL(A289,F289,1,'Feriado 2026'!$A$2:$A$14)</f>
        <v>12</v>
      </c>
      <c r="H289" s="11" t="str">
        <f t="shared" ca="1" si="9"/>
        <v>Fora do SLA</v>
      </c>
    </row>
    <row r="290" spans="1:8" x14ac:dyDescent="0.3">
      <c r="A290" s="12">
        <v>46020</v>
      </c>
      <c r="B290" s="11" t="s">
        <v>851</v>
      </c>
      <c r="C290" s="11" t="s">
        <v>852</v>
      </c>
      <c r="D290" s="11" t="s">
        <v>853</v>
      </c>
      <c r="E290" s="11" t="s">
        <v>24</v>
      </c>
      <c r="F290" s="12">
        <f t="shared" ca="1" si="8"/>
        <v>46035</v>
      </c>
      <c r="G290" s="11">
        <f ca="1">NETWORKDAYS.INTL(A290,F290,1,'Feriado 2026'!$A$2:$A$14)</f>
        <v>12</v>
      </c>
      <c r="H290" s="11" t="str">
        <f t="shared" ca="1" si="9"/>
        <v>Fora do SLA</v>
      </c>
    </row>
    <row r="291" spans="1:8" x14ac:dyDescent="0.3">
      <c r="A291" s="12">
        <v>46020</v>
      </c>
      <c r="B291" s="11" t="s">
        <v>854</v>
      </c>
      <c r="C291" s="11" t="s">
        <v>855</v>
      </c>
      <c r="D291" s="11" t="s">
        <v>856</v>
      </c>
      <c r="E291" s="11" t="s">
        <v>24</v>
      </c>
      <c r="F291" s="12">
        <f t="shared" ca="1" si="8"/>
        <v>46035</v>
      </c>
      <c r="G291" s="11">
        <f ca="1">NETWORKDAYS.INTL(A291,F291,1,'Feriado 2026'!$A$2:$A$14)</f>
        <v>12</v>
      </c>
      <c r="H291" s="11" t="str">
        <f t="shared" ca="1" si="9"/>
        <v>Fora do SLA</v>
      </c>
    </row>
    <row r="292" spans="1:8" x14ac:dyDescent="0.3">
      <c r="A292" s="12">
        <v>46021</v>
      </c>
      <c r="B292" s="11" t="s">
        <v>857</v>
      </c>
      <c r="C292" s="11" t="s">
        <v>858</v>
      </c>
      <c r="D292" s="11" t="s">
        <v>859</v>
      </c>
      <c r="E292" s="11" t="s">
        <v>24</v>
      </c>
      <c r="F292" s="12">
        <f t="shared" ca="1" si="8"/>
        <v>46035</v>
      </c>
      <c r="G292" s="11">
        <f ca="1">NETWORKDAYS.INTL(A292,F292,1,'Feriado 2026'!$A$2:$A$14)</f>
        <v>11</v>
      </c>
      <c r="H292" s="11" t="str">
        <f t="shared" ca="1" si="9"/>
        <v>Fora do SLA</v>
      </c>
    </row>
    <row r="293" spans="1:8" x14ac:dyDescent="0.3">
      <c r="A293" s="12">
        <v>46021</v>
      </c>
      <c r="B293" s="11" t="s">
        <v>860</v>
      </c>
      <c r="C293" s="11" t="s">
        <v>861</v>
      </c>
      <c r="D293" s="11" t="s">
        <v>862</v>
      </c>
      <c r="E293" s="11" t="s">
        <v>24</v>
      </c>
      <c r="F293" s="12">
        <f t="shared" ca="1" si="8"/>
        <v>46035</v>
      </c>
      <c r="G293" s="11">
        <f ca="1">NETWORKDAYS.INTL(A293,F293,1,'Feriado 2026'!$A$2:$A$14)</f>
        <v>11</v>
      </c>
      <c r="H293" s="11" t="str">
        <f t="shared" ca="1" si="9"/>
        <v>Fora do SLA</v>
      </c>
    </row>
    <row r="294" spans="1:8" x14ac:dyDescent="0.3">
      <c r="A294" s="12">
        <v>46021</v>
      </c>
      <c r="B294" s="11" t="s">
        <v>863</v>
      </c>
      <c r="C294" s="11" t="s">
        <v>864</v>
      </c>
      <c r="D294" s="11" t="s">
        <v>865</v>
      </c>
      <c r="E294" s="11" t="s">
        <v>24</v>
      </c>
      <c r="F294" s="12">
        <f t="shared" ca="1" si="8"/>
        <v>46035</v>
      </c>
      <c r="G294" s="11">
        <f ca="1">NETWORKDAYS.INTL(A294,F294,1,'Feriado 2026'!$A$2:$A$14)</f>
        <v>11</v>
      </c>
      <c r="H294" s="11" t="str">
        <f t="shared" ca="1" si="9"/>
        <v>Fora do SLA</v>
      </c>
    </row>
    <row r="295" spans="1:8" x14ac:dyDescent="0.3">
      <c r="A295" s="12">
        <v>46021</v>
      </c>
      <c r="B295" s="11" t="s">
        <v>866</v>
      </c>
      <c r="C295" s="11" t="s">
        <v>867</v>
      </c>
      <c r="D295" s="11" t="s">
        <v>868</v>
      </c>
      <c r="E295" s="11" t="s">
        <v>24</v>
      </c>
      <c r="F295" s="12">
        <f t="shared" ca="1" si="8"/>
        <v>46035</v>
      </c>
      <c r="G295" s="11">
        <f ca="1">NETWORKDAYS.INTL(A295,F295,1,'Feriado 2026'!$A$2:$A$14)</f>
        <v>11</v>
      </c>
      <c r="H295" s="11" t="str">
        <f t="shared" ca="1" si="9"/>
        <v>Fora do SLA</v>
      </c>
    </row>
    <row r="296" spans="1:8" x14ac:dyDescent="0.3">
      <c r="A296" s="12">
        <v>46021</v>
      </c>
      <c r="B296" s="11" t="s">
        <v>869</v>
      </c>
      <c r="C296" s="11" t="s">
        <v>870</v>
      </c>
      <c r="D296" s="11" t="s">
        <v>871</v>
      </c>
      <c r="E296" s="11" t="s">
        <v>24</v>
      </c>
      <c r="F296" s="12">
        <f t="shared" ca="1" si="8"/>
        <v>46035</v>
      </c>
      <c r="G296" s="11">
        <f ca="1">NETWORKDAYS.INTL(A296,F296,1,'Feriado 2026'!$A$2:$A$14)</f>
        <v>11</v>
      </c>
      <c r="H296" s="11" t="str">
        <f t="shared" ca="1" si="9"/>
        <v>Fora do SLA</v>
      </c>
    </row>
    <row r="297" spans="1:8" x14ac:dyDescent="0.3">
      <c r="A297" s="12">
        <v>46021</v>
      </c>
      <c r="B297" s="11" t="s">
        <v>872</v>
      </c>
      <c r="C297" s="11" t="s">
        <v>873</v>
      </c>
      <c r="D297" s="11" t="s">
        <v>874</v>
      </c>
      <c r="E297" s="11" t="s">
        <v>24</v>
      </c>
      <c r="F297" s="12">
        <f t="shared" ca="1" si="8"/>
        <v>46035</v>
      </c>
      <c r="G297" s="11">
        <f ca="1">NETWORKDAYS.INTL(A297,F297,1,'Feriado 2026'!$A$2:$A$14)</f>
        <v>11</v>
      </c>
      <c r="H297" s="11" t="str">
        <f t="shared" ca="1" si="9"/>
        <v>Fora do SLA</v>
      </c>
    </row>
    <row r="298" spans="1:8" x14ac:dyDescent="0.3">
      <c r="A298" s="12">
        <v>46021</v>
      </c>
      <c r="B298" s="11" t="s">
        <v>875</v>
      </c>
      <c r="C298" s="11" t="s">
        <v>876</v>
      </c>
      <c r="D298" s="11" t="s">
        <v>877</v>
      </c>
      <c r="E298" s="11" t="s">
        <v>24</v>
      </c>
      <c r="F298" s="12">
        <f t="shared" ca="1" si="8"/>
        <v>46035</v>
      </c>
      <c r="G298" s="11">
        <f ca="1">NETWORKDAYS.INTL(A298,F298,1,'Feriado 2026'!$A$2:$A$14)</f>
        <v>11</v>
      </c>
      <c r="H298" s="11" t="str">
        <f t="shared" ca="1" si="9"/>
        <v>Fora do SLA</v>
      </c>
    </row>
    <row r="299" spans="1:8" x14ac:dyDescent="0.3">
      <c r="A299" s="12">
        <v>46021</v>
      </c>
      <c r="B299" s="11" t="s">
        <v>878</v>
      </c>
      <c r="C299" s="11" t="s">
        <v>879</v>
      </c>
      <c r="D299" s="11" t="s">
        <v>880</v>
      </c>
      <c r="E299" s="11" t="s">
        <v>24</v>
      </c>
      <c r="F299" s="12">
        <f t="shared" ca="1" si="8"/>
        <v>46035</v>
      </c>
      <c r="G299" s="11">
        <f ca="1">NETWORKDAYS.INTL(A299,F299,1,'Feriado 2026'!$A$2:$A$14)</f>
        <v>11</v>
      </c>
      <c r="H299" s="11" t="str">
        <f t="shared" ca="1" si="9"/>
        <v>Fora do SLA</v>
      </c>
    </row>
    <row r="300" spans="1:8" x14ac:dyDescent="0.3">
      <c r="A300" s="12">
        <v>46021</v>
      </c>
      <c r="B300" s="11" t="s">
        <v>881</v>
      </c>
      <c r="C300" s="11" t="s">
        <v>882</v>
      </c>
      <c r="D300" s="11" t="s">
        <v>883</v>
      </c>
      <c r="E300" s="11" t="s">
        <v>24</v>
      </c>
      <c r="F300" s="12">
        <f t="shared" ca="1" si="8"/>
        <v>46035</v>
      </c>
      <c r="G300" s="11">
        <f ca="1">NETWORKDAYS.INTL(A300,F300,1,'Feriado 2026'!$A$2:$A$14)</f>
        <v>11</v>
      </c>
      <c r="H300" s="11" t="str">
        <f t="shared" ca="1" si="9"/>
        <v>Fora do SLA</v>
      </c>
    </row>
    <row r="301" spans="1:8" x14ac:dyDescent="0.3">
      <c r="A301" s="12">
        <v>46021</v>
      </c>
      <c r="B301" s="11" t="s">
        <v>884</v>
      </c>
      <c r="C301" s="11" t="s">
        <v>885</v>
      </c>
      <c r="D301" s="11" t="s">
        <v>886</v>
      </c>
      <c r="E301" s="11" t="s">
        <v>8</v>
      </c>
      <c r="F301" s="12">
        <f t="shared" ca="1" si="8"/>
        <v>46035</v>
      </c>
      <c r="G301" s="11">
        <f ca="1">NETWORKDAYS.INTL(A301,F301,1,'Feriado 2026'!$A$2:$A$14)</f>
        <v>11</v>
      </c>
      <c r="H301" s="11" t="str">
        <f t="shared" ca="1" si="9"/>
        <v>Fora do SLA</v>
      </c>
    </row>
    <row r="302" spans="1:8" x14ac:dyDescent="0.3">
      <c r="A302" s="12">
        <v>46021</v>
      </c>
      <c r="B302" s="11" t="s">
        <v>887</v>
      </c>
      <c r="C302" s="11" t="s">
        <v>888</v>
      </c>
      <c r="D302" s="11" t="s">
        <v>889</v>
      </c>
      <c r="E302" s="11" t="s">
        <v>24</v>
      </c>
      <c r="F302" s="12">
        <f t="shared" ca="1" si="8"/>
        <v>46035</v>
      </c>
      <c r="G302" s="11">
        <f ca="1">NETWORKDAYS.INTL(A302,F302,1,'Feriado 2026'!$A$2:$A$14)</f>
        <v>11</v>
      </c>
      <c r="H302" s="11" t="str">
        <f t="shared" ca="1" si="9"/>
        <v>Fora do SLA</v>
      </c>
    </row>
    <row r="303" spans="1:8" x14ac:dyDescent="0.3">
      <c r="A303" s="12">
        <v>46021</v>
      </c>
      <c r="B303" s="11" t="s">
        <v>890</v>
      </c>
      <c r="C303" s="11" t="s">
        <v>891</v>
      </c>
      <c r="D303" s="11" t="s">
        <v>892</v>
      </c>
      <c r="E303" s="11" t="s">
        <v>24</v>
      </c>
      <c r="F303" s="12">
        <f t="shared" ca="1" si="8"/>
        <v>46035</v>
      </c>
      <c r="G303" s="11">
        <f ca="1">NETWORKDAYS.INTL(A303,F303,1,'Feriado 2026'!$A$2:$A$14)</f>
        <v>11</v>
      </c>
      <c r="H303" s="11" t="str">
        <f t="shared" ca="1" si="9"/>
        <v>Fora do SLA</v>
      </c>
    </row>
    <row r="304" spans="1:8" x14ac:dyDescent="0.3">
      <c r="A304" s="12">
        <v>46021</v>
      </c>
      <c r="B304" s="11" t="s">
        <v>893</v>
      </c>
      <c r="C304" s="11" t="s">
        <v>894</v>
      </c>
      <c r="D304" s="11" t="s">
        <v>895</v>
      </c>
      <c r="E304" s="11" t="s">
        <v>24</v>
      </c>
      <c r="F304" s="12">
        <f t="shared" ca="1" si="8"/>
        <v>46035</v>
      </c>
      <c r="G304" s="11">
        <f ca="1">NETWORKDAYS.INTL(A304,F304,1,'Feriado 2026'!$A$2:$A$14)</f>
        <v>11</v>
      </c>
      <c r="H304" s="11" t="str">
        <f t="shared" ca="1" si="9"/>
        <v>Fora do SLA</v>
      </c>
    </row>
    <row r="305" spans="1:8" x14ac:dyDescent="0.3">
      <c r="A305" s="12">
        <v>46021</v>
      </c>
      <c r="B305" s="11" t="s">
        <v>896</v>
      </c>
      <c r="C305" s="11" t="s">
        <v>897</v>
      </c>
      <c r="D305" s="11" t="s">
        <v>898</v>
      </c>
      <c r="E305" s="11" t="s">
        <v>24</v>
      </c>
      <c r="F305" s="12">
        <f t="shared" ca="1" si="8"/>
        <v>46035</v>
      </c>
      <c r="G305" s="11">
        <f ca="1">NETWORKDAYS.INTL(A305,F305,1,'Feriado 2026'!$A$2:$A$14)</f>
        <v>11</v>
      </c>
      <c r="H305" s="11" t="str">
        <f t="shared" ca="1" si="9"/>
        <v>Fora do SLA</v>
      </c>
    </row>
    <row r="306" spans="1:8" x14ac:dyDescent="0.3">
      <c r="A306" s="12">
        <v>46021</v>
      </c>
      <c r="B306" s="11" t="s">
        <v>899</v>
      </c>
      <c r="C306" s="11" t="s">
        <v>900</v>
      </c>
      <c r="D306" s="11" t="s">
        <v>901</v>
      </c>
      <c r="E306" s="11" t="s">
        <v>24</v>
      </c>
      <c r="F306" s="12">
        <f t="shared" ca="1" si="8"/>
        <v>46035</v>
      </c>
      <c r="G306" s="11">
        <f ca="1">NETWORKDAYS.INTL(A306,F306,1,'Feriado 2026'!$A$2:$A$14)</f>
        <v>11</v>
      </c>
      <c r="H306" s="11" t="str">
        <f t="shared" ca="1" si="9"/>
        <v>Fora do SLA</v>
      </c>
    </row>
    <row r="307" spans="1:8" x14ac:dyDescent="0.3">
      <c r="A307" s="12">
        <v>46027</v>
      </c>
      <c r="B307" s="11" t="s">
        <v>902</v>
      </c>
      <c r="C307" s="11" t="s">
        <v>903</v>
      </c>
      <c r="D307" s="11" t="s">
        <v>904</v>
      </c>
      <c r="E307" s="11" t="s">
        <v>8</v>
      </c>
      <c r="F307" s="12">
        <f t="shared" ca="1" si="8"/>
        <v>46035</v>
      </c>
      <c r="G307" s="11">
        <f ca="1">NETWORKDAYS.INTL(A307,F307,1,'Feriado 2026'!$A$2:$A$14)</f>
        <v>7</v>
      </c>
      <c r="H307" s="11" t="str">
        <f t="shared" ca="1" si="9"/>
        <v>Fora do SLA</v>
      </c>
    </row>
    <row r="308" spans="1:8" x14ac:dyDescent="0.3">
      <c r="A308" s="12">
        <v>46027</v>
      </c>
      <c r="B308" s="11" t="s">
        <v>905</v>
      </c>
      <c r="C308" s="11" t="s">
        <v>906</v>
      </c>
      <c r="D308" s="11" t="s">
        <v>907</v>
      </c>
      <c r="E308" s="11" t="s">
        <v>24</v>
      </c>
      <c r="F308" s="12">
        <f t="shared" ca="1" si="8"/>
        <v>46035</v>
      </c>
      <c r="G308" s="11">
        <f ca="1">NETWORKDAYS.INTL(A308,F308,1,'Feriado 2026'!$A$2:$A$14)</f>
        <v>7</v>
      </c>
      <c r="H308" s="11" t="str">
        <f t="shared" ca="1" si="9"/>
        <v>Fora do SLA</v>
      </c>
    </row>
    <row r="309" spans="1:8" x14ac:dyDescent="0.3">
      <c r="A309" s="12">
        <v>46027</v>
      </c>
      <c r="B309" s="11" t="s">
        <v>908</v>
      </c>
      <c r="C309" s="11" t="s">
        <v>909</v>
      </c>
      <c r="D309" s="11" t="s">
        <v>910</v>
      </c>
      <c r="E309" s="11" t="s">
        <v>24</v>
      </c>
      <c r="F309" s="12">
        <f t="shared" ca="1" si="8"/>
        <v>46035</v>
      </c>
      <c r="G309" s="11">
        <f ca="1">NETWORKDAYS.INTL(A309,F309,1,'Feriado 2026'!$A$2:$A$14)</f>
        <v>7</v>
      </c>
      <c r="H309" s="11" t="str">
        <f t="shared" ca="1" si="9"/>
        <v>Fora do SLA</v>
      </c>
    </row>
    <row r="310" spans="1:8" x14ac:dyDescent="0.3">
      <c r="A310" s="12">
        <v>46027</v>
      </c>
      <c r="B310" s="11" t="s">
        <v>911</v>
      </c>
      <c r="C310" s="11" t="s">
        <v>912</v>
      </c>
      <c r="D310" s="11" t="s">
        <v>913</v>
      </c>
      <c r="E310" s="11" t="s">
        <v>24</v>
      </c>
      <c r="F310" s="12">
        <f t="shared" ca="1" si="8"/>
        <v>46035</v>
      </c>
      <c r="G310" s="11">
        <f ca="1">NETWORKDAYS.INTL(A310,F310,1,'Feriado 2026'!$A$2:$A$14)</f>
        <v>7</v>
      </c>
      <c r="H310" s="11" t="str">
        <f t="shared" ca="1" si="9"/>
        <v>Fora do SLA</v>
      </c>
    </row>
    <row r="311" spans="1:8" x14ac:dyDescent="0.3">
      <c r="A311" s="12">
        <v>46027</v>
      </c>
      <c r="B311" s="11" t="s">
        <v>914</v>
      </c>
      <c r="C311" s="11" t="s">
        <v>915</v>
      </c>
      <c r="D311" s="11" t="s">
        <v>916</v>
      </c>
      <c r="E311" s="11" t="s">
        <v>24</v>
      </c>
      <c r="F311" s="12">
        <f t="shared" ca="1" si="8"/>
        <v>46035</v>
      </c>
      <c r="G311" s="11">
        <f ca="1">NETWORKDAYS.INTL(A311,F311,1,'Feriado 2026'!$A$2:$A$14)</f>
        <v>7</v>
      </c>
      <c r="H311" s="11" t="str">
        <f t="shared" ca="1" si="9"/>
        <v>Fora do SLA</v>
      </c>
    </row>
    <row r="312" spans="1:8" x14ac:dyDescent="0.3">
      <c r="A312" s="12">
        <v>46027</v>
      </c>
      <c r="B312" s="11" t="s">
        <v>917</v>
      </c>
      <c r="C312" s="11" t="s">
        <v>918</v>
      </c>
      <c r="D312" s="11" t="s">
        <v>919</v>
      </c>
      <c r="E312" s="11" t="s">
        <v>24</v>
      </c>
      <c r="F312" s="12">
        <f t="shared" ca="1" si="8"/>
        <v>46035</v>
      </c>
      <c r="G312" s="11">
        <f ca="1">NETWORKDAYS.INTL(A312,F312,1,'Feriado 2026'!$A$2:$A$14)</f>
        <v>7</v>
      </c>
      <c r="H312" s="11" t="str">
        <f t="shared" ca="1" si="9"/>
        <v>Fora do SLA</v>
      </c>
    </row>
    <row r="313" spans="1:8" x14ac:dyDescent="0.3">
      <c r="A313" s="12">
        <v>46027</v>
      </c>
      <c r="B313" s="11" t="s">
        <v>920</v>
      </c>
      <c r="C313" s="11" t="s">
        <v>921</v>
      </c>
      <c r="D313" s="11" t="s">
        <v>922</v>
      </c>
      <c r="E313" s="11" t="s">
        <v>24</v>
      </c>
      <c r="F313" s="12">
        <f t="shared" ca="1" si="8"/>
        <v>46035</v>
      </c>
      <c r="G313" s="11">
        <f ca="1">NETWORKDAYS.INTL(A313,F313,1,'Feriado 2026'!$A$2:$A$14)</f>
        <v>7</v>
      </c>
      <c r="H313" s="11" t="str">
        <f t="shared" ca="1" si="9"/>
        <v>Fora do SLA</v>
      </c>
    </row>
    <row r="314" spans="1:8" x14ac:dyDescent="0.3">
      <c r="A314" s="12">
        <v>46027</v>
      </c>
      <c r="B314" s="11" t="s">
        <v>923</v>
      </c>
      <c r="C314" s="11" t="s">
        <v>924</v>
      </c>
      <c r="D314" s="11" t="s">
        <v>925</v>
      </c>
      <c r="E314" s="11" t="s">
        <v>24</v>
      </c>
      <c r="F314" s="12">
        <f t="shared" ca="1" si="8"/>
        <v>46035</v>
      </c>
      <c r="G314" s="11">
        <f ca="1">NETWORKDAYS.INTL(A314,F314,1,'Feriado 2026'!$A$2:$A$14)</f>
        <v>7</v>
      </c>
      <c r="H314" s="11" t="str">
        <f t="shared" ca="1" si="9"/>
        <v>Fora do SLA</v>
      </c>
    </row>
    <row r="315" spans="1:8" x14ac:dyDescent="0.3">
      <c r="A315" s="12">
        <v>46027</v>
      </c>
      <c r="B315" s="11" t="s">
        <v>926</v>
      </c>
      <c r="C315" s="11" t="s">
        <v>927</v>
      </c>
      <c r="D315" s="11" t="s">
        <v>928</v>
      </c>
      <c r="E315" s="11" t="s">
        <v>24</v>
      </c>
      <c r="F315" s="12">
        <f t="shared" ca="1" si="8"/>
        <v>46035</v>
      </c>
      <c r="G315" s="11">
        <f ca="1">NETWORKDAYS.INTL(A315,F315,1,'Feriado 2026'!$A$2:$A$14)</f>
        <v>7</v>
      </c>
      <c r="H315" s="11" t="str">
        <f t="shared" ca="1" si="9"/>
        <v>Fora do SLA</v>
      </c>
    </row>
    <row r="316" spans="1:8" x14ac:dyDescent="0.3">
      <c r="A316" s="12">
        <v>46027</v>
      </c>
      <c r="B316" s="11" t="s">
        <v>929</v>
      </c>
      <c r="C316" s="11" t="s">
        <v>930</v>
      </c>
      <c r="D316" s="11" t="s">
        <v>931</v>
      </c>
      <c r="E316" s="11" t="s">
        <v>24</v>
      </c>
      <c r="F316" s="12">
        <f t="shared" ca="1" si="8"/>
        <v>46035</v>
      </c>
      <c r="G316" s="11">
        <f ca="1">NETWORKDAYS.INTL(A316,F316,1,'Feriado 2026'!$A$2:$A$14)</f>
        <v>7</v>
      </c>
      <c r="H316" s="11" t="str">
        <f t="shared" ca="1" si="9"/>
        <v>Fora do SLA</v>
      </c>
    </row>
    <row r="317" spans="1:8" x14ac:dyDescent="0.3">
      <c r="A317" s="12">
        <v>46027</v>
      </c>
      <c r="B317" s="11" t="s">
        <v>932</v>
      </c>
      <c r="C317" s="11" t="s">
        <v>933</v>
      </c>
      <c r="D317" s="11" t="s">
        <v>934</v>
      </c>
      <c r="E317" s="11" t="s">
        <v>24</v>
      </c>
      <c r="F317" s="12">
        <f t="shared" ca="1" si="8"/>
        <v>46035</v>
      </c>
      <c r="G317" s="11">
        <f ca="1">NETWORKDAYS.INTL(A317,F317,1,'Feriado 2026'!$A$2:$A$14)</f>
        <v>7</v>
      </c>
      <c r="H317" s="11" t="str">
        <f t="shared" ca="1" si="9"/>
        <v>Fora do SLA</v>
      </c>
    </row>
    <row r="318" spans="1:8" x14ac:dyDescent="0.3">
      <c r="A318" s="12">
        <v>46027</v>
      </c>
      <c r="B318" s="11" t="s">
        <v>935</v>
      </c>
      <c r="C318" s="11" t="s">
        <v>936</v>
      </c>
      <c r="D318" s="11" t="s">
        <v>937</v>
      </c>
      <c r="E318" s="11" t="s">
        <v>24</v>
      </c>
      <c r="F318" s="12">
        <f t="shared" ca="1" si="8"/>
        <v>46035</v>
      </c>
      <c r="G318" s="11">
        <f ca="1">NETWORKDAYS.INTL(A318,F318,1,'Feriado 2026'!$A$2:$A$14)</f>
        <v>7</v>
      </c>
      <c r="H318" s="11" t="str">
        <f t="shared" ca="1" si="9"/>
        <v>Fora do SLA</v>
      </c>
    </row>
    <row r="319" spans="1:8" x14ac:dyDescent="0.3">
      <c r="A319" s="12">
        <v>46028</v>
      </c>
      <c r="B319" s="11" t="s">
        <v>938</v>
      </c>
      <c r="C319" s="11" t="s">
        <v>939</v>
      </c>
      <c r="D319" s="11" t="s">
        <v>940</v>
      </c>
      <c r="E319" s="11" t="s">
        <v>8</v>
      </c>
      <c r="F319" s="12">
        <f t="shared" ca="1" si="8"/>
        <v>46035</v>
      </c>
      <c r="G319" s="11">
        <f ca="1">NETWORKDAYS.INTL(A319,F319,1,'Feriado 2026'!$A$2:$A$14)</f>
        <v>6</v>
      </c>
      <c r="H319" s="11" t="str">
        <f t="shared" ca="1" si="9"/>
        <v>Fora do SLA</v>
      </c>
    </row>
    <row r="320" spans="1:8" x14ac:dyDescent="0.3">
      <c r="A320" s="12">
        <v>46028</v>
      </c>
      <c r="B320" s="11" t="s">
        <v>941</v>
      </c>
      <c r="C320" s="11" t="s">
        <v>942</v>
      </c>
      <c r="D320" s="11" t="s">
        <v>943</v>
      </c>
      <c r="E320" s="11" t="s">
        <v>8</v>
      </c>
      <c r="F320" s="12">
        <f t="shared" ca="1" si="8"/>
        <v>46035</v>
      </c>
      <c r="G320" s="11">
        <f ca="1">NETWORKDAYS.INTL(A320,F320,1,'Feriado 2026'!$A$2:$A$14)</f>
        <v>6</v>
      </c>
      <c r="H320" s="11" t="str">
        <f t="shared" ca="1" si="9"/>
        <v>Fora do SLA</v>
      </c>
    </row>
    <row r="321" spans="1:8" x14ac:dyDescent="0.3">
      <c r="A321" s="12">
        <v>46028</v>
      </c>
      <c r="B321" s="11" t="s">
        <v>944</v>
      </c>
      <c r="C321" s="11" t="s">
        <v>945</v>
      </c>
      <c r="D321" s="11" t="s">
        <v>946</v>
      </c>
      <c r="E321" s="11" t="s">
        <v>24</v>
      </c>
      <c r="F321" s="12">
        <f t="shared" ca="1" si="8"/>
        <v>46035</v>
      </c>
      <c r="G321" s="11">
        <f ca="1">NETWORKDAYS.INTL(A321,F321,1,'Feriado 2026'!$A$2:$A$14)</f>
        <v>6</v>
      </c>
      <c r="H321" s="11" t="str">
        <f t="shared" ca="1" si="9"/>
        <v>Fora do SLA</v>
      </c>
    </row>
    <row r="322" spans="1:8" x14ac:dyDescent="0.3">
      <c r="A322" s="12">
        <v>46028</v>
      </c>
      <c r="B322" s="11" t="s">
        <v>947</v>
      </c>
      <c r="C322" s="11" t="s">
        <v>948</v>
      </c>
      <c r="D322" s="11" t="s">
        <v>949</v>
      </c>
      <c r="E322" s="11" t="s">
        <v>8</v>
      </c>
      <c r="F322" s="12">
        <f t="shared" ca="1" si="8"/>
        <v>46035</v>
      </c>
      <c r="G322" s="11">
        <f ca="1">NETWORKDAYS.INTL(A322,F322,1,'Feriado 2026'!$A$2:$A$14)</f>
        <v>6</v>
      </c>
      <c r="H322" s="11" t="str">
        <f t="shared" ca="1" si="9"/>
        <v>Fora do SLA</v>
      </c>
    </row>
    <row r="323" spans="1:8" x14ac:dyDescent="0.3">
      <c r="A323" s="12">
        <v>46029</v>
      </c>
      <c r="B323" s="11" t="s">
        <v>950</v>
      </c>
      <c r="C323" s="11" t="s">
        <v>951</v>
      </c>
      <c r="D323" s="11" t="s">
        <v>952</v>
      </c>
      <c r="E323" s="11" t="s">
        <v>24</v>
      </c>
      <c r="F323" s="12">
        <f t="shared" ref="F323:F347" ca="1" si="10">TODAY()</f>
        <v>46035</v>
      </c>
      <c r="G323" s="11">
        <f ca="1">NETWORKDAYS.INTL(A323,F323,1,'Feriado 2026'!$A$2:$A$14)</f>
        <v>5</v>
      </c>
      <c r="H323" s="11" t="str">
        <f t="shared" ref="H323:H347" ca="1" si="11">IF(G323&lt;=2,"Dentro do SLA","Fora do SLA")</f>
        <v>Fora do SLA</v>
      </c>
    </row>
    <row r="324" spans="1:8" x14ac:dyDescent="0.3">
      <c r="A324" s="12">
        <v>46029</v>
      </c>
      <c r="B324" s="11" t="s">
        <v>953</v>
      </c>
      <c r="C324" s="11" t="s">
        <v>954</v>
      </c>
      <c r="D324" s="11" t="s">
        <v>955</v>
      </c>
      <c r="E324" s="11" t="s">
        <v>24</v>
      </c>
      <c r="F324" s="12">
        <f t="shared" ca="1" si="10"/>
        <v>46035</v>
      </c>
      <c r="G324" s="11">
        <f ca="1">NETWORKDAYS.INTL(A324,F324,1,'Feriado 2026'!$A$2:$A$14)</f>
        <v>5</v>
      </c>
      <c r="H324" s="11" t="str">
        <f t="shared" ca="1" si="11"/>
        <v>Fora do SLA</v>
      </c>
    </row>
    <row r="325" spans="1:8" x14ac:dyDescent="0.3">
      <c r="A325" s="12">
        <v>46029</v>
      </c>
      <c r="B325" s="11" t="s">
        <v>956</v>
      </c>
      <c r="C325" s="11" t="s">
        <v>957</v>
      </c>
      <c r="D325" s="11" t="s">
        <v>958</v>
      </c>
      <c r="E325" s="11" t="s">
        <v>24</v>
      </c>
      <c r="F325" s="12">
        <f t="shared" ca="1" si="10"/>
        <v>46035</v>
      </c>
      <c r="G325" s="11">
        <f ca="1">NETWORKDAYS.INTL(A325,F325,1,'Feriado 2026'!$A$2:$A$14)</f>
        <v>5</v>
      </c>
      <c r="H325" s="11" t="str">
        <f t="shared" ca="1" si="11"/>
        <v>Fora do SLA</v>
      </c>
    </row>
    <row r="326" spans="1:8" x14ac:dyDescent="0.3">
      <c r="A326" s="12">
        <v>46029</v>
      </c>
      <c r="B326" s="11" t="s">
        <v>959</v>
      </c>
      <c r="C326" s="11" t="s">
        <v>960</v>
      </c>
      <c r="D326" s="11" t="s">
        <v>961</v>
      </c>
      <c r="E326" s="11" t="s">
        <v>24</v>
      </c>
      <c r="F326" s="12">
        <f t="shared" ca="1" si="10"/>
        <v>46035</v>
      </c>
      <c r="G326" s="11">
        <f ca="1">NETWORKDAYS.INTL(A326,F326,1,'Feriado 2026'!$A$2:$A$14)</f>
        <v>5</v>
      </c>
      <c r="H326" s="11" t="str">
        <f t="shared" ca="1" si="11"/>
        <v>Fora do SLA</v>
      </c>
    </row>
    <row r="327" spans="1:8" x14ac:dyDescent="0.3">
      <c r="A327" s="12">
        <v>46029</v>
      </c>
      <c r="B327" s="11" t="s">
        <v>962</v>
      </c>
      <c r="C327" s="11" t="s">
        <v>963</v>
      </c>
      <c r="D327" s="11" t="s">
        <v>964</v>
      </c>
      <c r="E327" s="11" t="s">
        <v>8</v>
      </c>
      <c r="F327" s="12">
        <f t="shared" ca="1" si="10"/>
        <v>46035</v>
      </c>
      <c r="G327" s="11">
        <f ca="1">NETWORKDAYS.INTL(A327,F327,1,'Feriado 2026'!$A$2:$A$14)</f>
        <v>5</v>
      </c>
      <c r="H327" s="11" t="str">
        <f t="shared" ca="1" si="11"/>
        <v>Fora do SLA</v>
      </c>
    </row>
    <row r="328" spans="1:8" x14ac:dyDescent="0.3">
      <c r="A328" s="12">
        <v>46029</v>
      </c>
      <c r="B328" s="11" t="s">
        <v>965</v>
      </c>
      <c r="C328" s="11" t="s">
        <v>966</v>
      </c>
      <c r="D328" s="11" t="s">
        <v>967</v>
      </c>
      <c r="E328" s="11" t="s">
        <v>24</v>
      </c>
      <c r="F328" s="12">
        <f t="shared" ca="1" si="10"/>
        <v>46035</v>
      </c>
      <c r="G328" s="11">
        <f ca="1">NETWORKDAYS.INTL(A328,F328,1,'Feriado 2026'!$A$2:$A$14)</f>
        <v>5</v>
      </c>
      <c r="H328" s="11" t="str">
        <f t="shared" ca="1" si="11"/>
        <v>Fora do SLA</v>
      </c>
    </row>
    <row r="329" spans="1:8" x14ac:dyDescent="0.3">
      <c r="A329" s="12">
        <v>46029</v>
      </c>
      <c r="B329" s="11" t="s">
        <v>968</v>
      </c>
      <c r="C329" s="11" t="s">
        <v>969</v>
      </c>
      <c r="D329" s="11" t="s">
        <v>970</v>
      </c>
      <c r="E329" s="11" t="s">
        <v>24</v>
      </c>
      <c r="F329" s="12">
        <f t="shared" ca="1" si="10"/>
        <v>46035</v>
      </c>
      <c r="G329" s="11">
        <f ca="1">NETWORKDAYS.INTL(A329,F329,1,'Feriado 2026'!$A$2:$A$14)</f>
        <v>5</v>
      </c>
      <c r="H329" s="11" t="str">
        <f t="shared" ca="1" si="11"/>
        <v>Fora do SLA</v>
      </c>
    </row>
    <row r="330" spans="1:8" x14ac:dyDescent="0.3">
      <c r="A330" s="12">
        <v>46029</v>
      </c>
      <c r="B330" s="11" t="s">
        <v>971</v>
      </c>
      <c r="C330" s="11" t="s">
        <v>972</v>
      </c>
      <c r="D330" s="11" t="s">
        <v>973</v>
      </c>
      <c r="E330" s="11" t="s">
        <v>24</v>
      </c>
      <c r="F330" s="12">
        <f t="shared" ca="1" si="10"/>
        <v>46035</v>
      </c>
      <c r="G330" s="11">
        <f ca="1">NETWORKDAYS.INTL(A330,F330,1,'Feriado 2026'!$A$2:$A$14)</f>
        <v>5</v>
      </c>
      <c r="H330" s="11" t="str">
        <f t="shared" ca="1" si="11"/>
        <v>Fora do SLA</v>
      </c>
    </row>
    <row r="331" spans="1:8" x14ac:dyDescent="0.3">
      <c r="A331" s="12">
        <v>46029</v>
      </c>
      <c r="B331" s="11" t="s">
        <v>974</v>
      </c>
      <c r="C331" s="11" t="s">
        <v>975</v>
      </c>
      <c r="D331" s="11" t="s">
        <v>976</v>
      </c>
      <c r="E331" s="11" t="s">
        <v>8</v>
      </c>
      <c r="F331" s="12">
        <f t="shared" ca="1" si="10"/>
        <v>46035</v>
      </c>
      <c r="G331" s="11">
        <f ca="1">NETWORKDAYS.INTL(A331,F331,1,'Feriado 2026'!$A$2:$A$14)</f>
        <v>5</v>
      </c>
      <c r="H331" s="11" t="str">
        <f t="shared" ca="1" si="11"/>
        <v>Fora do SLA</v>
      </c>
    </row>
    <row r="332" spans="1:8" x14ac:dyDescent="0.3">
      <c r="A332" s="12">
        <v>46029</v>
      </c>
      <c r="B332" s="11" t="s">
        <v>977</v>
      </c>
      <c r="C332" s="11" t="s">
        <v>978</v>
      </c>
      <c r="D332" s="11" t="s">
        <v>979</v>
      </c>
      <c r="E332" s="11" t="s">
        <v>24</v>
      </c>
      <c r="F332" s="12">
        <f t="shared" ca="1" si="10"/>
        <v>46035</v>
      </c>
      <c r="G332" s="11">
        <f ca="1">NETWORKDAYS.INTL(A332,F332,1,'Feriado 2026'!$A$2:$A$14)</f>
        <v>5</v>
      </c>
      <c r="H332" s="11" t="str">
        <f t="shared" ca="1" si="11"/>
        <v>Fora do SLA</v>
      </c>
    </row>
    <row r="333" spans="1:8" x14ac:dyDescent="0.3">
      <c r="A333" s="12">
        <v>46029</v>
      </c>
      <c r="B333" s="11" t="s">
        <v>980</v>
      </c>
      <c r="C333" s="11" t="s">
        <v>981</v>
      </c>
      <c r="D333" s="11" t="s">
        <v>982</v>
      </c>
      <c r="E333" s="11" t="s">
        <v>8</v>
      </c>
      <c r="F333" s="12">
        <f t="shared" ca="1" si="10"/>
        <v>46035</v>
      </c>
      <c r="G333" s="11">
        <f ca="1">NETWORKDAYS.INTL(A333,F333,1,'Feriado 2026'!$A$2:$A$14)</f>
        <v>5</v>
      </c>
      <c r="H333" s="11" t="str">
        <f t="shared" ca="1" si="11"/>
        <v>Fora do SLA</v>
      </c>
    </row>
    <row r="334" spans="1:8" x14ac:dyDescent="0.3">
      <c r="A334" s="12">
        <v>46029</v>
      </c>
      <c r="B334" s="11" t="s">
        <v>983</v>
      </c>
      <c r="C334" s="11" t="s">
        <v>984</v>
      </c>
      <c r="D334" s="11" t="s">
        <v>985</v>
      </c>
      <c r="E334" s="11" t="s">
        <v>24</v>
      </c>
      <c r="F334" s="12">
        <f t="shared" ca="1" si="10"/>
        <v>46035</v>
      </c>
      <c r="G334" s="11">
        <f ca="1">NETWORKDAYS.INTL(A334,F334,1,'Feriado 2026'!$A$2:$A$14)</f>
        <v>5</v>
      </c>
      <c r="H334" s="11" t="str">
        <f t="shared" ca="1" si="11"/>
        <v>Fora do SLA</v>
      </c>
    </row>
    <row r="335" spans="1:8" x14ac:dyDescent="0.3">
      <c r="A335" s="12">
        <v>46029</v>
      </c>
      <c r="B335" s="11" t="s">
        <v>986</v>
      </c>
      <c r="C335" s="11" t="s">
        <v>987</v>
      </c>
      <c r="D335" s="11" t="s">
        <v>988</v>
      </c>
      <c r="E335" s="11" t="s">
        <v>24</v>
      </c>
      <c r="F335" s="12">
        <f t="shared" ca="1" si="10"/>
        <v>46035</v>
      </c>
      <c r="G335" s="11">
        <f ca="1">NETWORKDAYS.INTL(A335,F335,1,'Feriado 2026'!$A$2:$A$14)</f>
        <v>5</v>
      </c>
      <c r="H335" s="11" t="str">
        <f t="shared" ca="1" si="11"/>
        <v>Fora do SLA</v>
      </c>
    </row>
    <row r="336" spans="1:8" x14ac:dyDescent="0.3">
      <c r="A336" s="12">
        <v>46030</v>
      </c>
      <c r="B336" s="11" t="s">
        <v>989</v>
      </c>
      <c r="C336" s="11" t="s">
        <v>990</v>
      </c>
      <c r="D336" s="11" t="s">
        <v>991</v>
      </c>
      <c r="E336" s="11" t="s">
        <v>24</v>
      </c>
      <c r="F336" s="12">
        <f t="shared" ca="1" si="10"/>
        <v>46035</v>
      </c>
      <c r="G336" s="11">
        <f ca="1">NETWORKDAYS.INTL(A336,F336,1,'Feriado 2026'!$A$2:$A$14)</f>
        <v>4</v>
      </c>
      <c r="H336" s="11" t="str">
        <f t="shared" ca="1" si="11"/>
        <v>Fora do SLA</v>
      </c>
    </row>
    <row r="337" spans="1:8" x14ac:dyDescent="0.3">
      <c r="A337" s="12">
        <v>46030</v>
      </c>
      <c r="B337" s="11" t="s">
        <v>790</v>
      </c>
      <c r="C337" s="11" t="s">
        <v>992</v>
      </c>
      <c r="D337" s="11" t="s">
        <v>792</v>
      </c>
      <c r="E337" s="11" t="s">
        <v>8</v>
      </c>
      <c r="F337" s="12">
        <f t="shared" ca="1" si="10"/>
        <v>46035</v>
      </c>
      <c r="G337" s="11">
        <f ca="1">NETWORKDAYS.INTL(A337,F337,1,'Feriado 2026'!$A$2:$A$14)</f>
        <v>4</v>
      </c>
      <c r="H337" s="11" t="str">
        <f t="shared" ca="1" si="11"/>
        <v>Fora do SLA</v>
      </c>
    </row>
    <row r="338" spans="1:8" x14ac:dyDescent="0.3">
      <c r="A338" s="12">
        <v>46030</v>
      </c>
      <c r="B338" s="11" t="s">
        <v>993</v>
      </c>
      <c r="C338" s="11" t="s">
        <v>994</v>
      </c>
      <c r="D338" s="11" t="s">
        <v>995</v>
      </c>
      <c r="E338" s="11" t="s">
        <v>24</v>
      </c>
      <c r="F338" s="12">
        <f t="shared" ca="1" si="10"/>
        <v>46035</v>
      </c>
      <c r="G338" s="11">
        <f ca="1">NETWORKDAYS.INTL(A338,F338,1,'Feriado 2026'!$A$2:$A$14)</f>
        <v>4</v>
      </c>
      <c r="H338" s="11" t="str">
        <f t="shared" ca="1" si="11"/>
        <v>Fora do SLA</v>
      </c>
    </row>
    <row r="339" spans="1:8" x14ac:dyDescent="0.3">
      <c r="A339" s="12">
        <v>46030</v>
      </c>
      <c r="B339" s="11" t="s">
        <v>996</v>
      </c>
      <c r="C339" s="11" t="s">
        <v>997</v>
      </c>
      <c r="D339" s="11" t="s">
        <v>998</v>
      </c>
      <c r="E339" s="11" t="s">
        <v>8</v>
      </c>
      <c r="F339" s="12">
        <f t="shared" ca="1" si="10"/>
        <v>46035</v>
      </c>
      <c r="G339" s="11">
        <f ca="1">NETWORKDAYS.INTL(A339,F339,1,'Feriado 2026'!$A$2:$A$14)</f>
        <v>4</v>
      </c>
      <c r="H339" s="11" t="str">
        <f t="shared" ca="1" si="11"/>
        <v>Fora do SLA</v>
      </c>
    </row>
    <row r="340" spans="1:8" x14ac:dyDescent="0.3">
      <c r="A340" s="12">
        <v>46030</v>
      </c>
      <c r="B340" s="11" t="s">
        <v>999</v>
      </c>
      <c r="C340" s="11" t="s">
        <v>1000</v>
      </c>
      <c r="D340" s="11" t="s">
        <v>1001</v>
      </c>
      <c r="E340" s="11" t="s">
        <v>24</v>
      </c>
      <c r="F340" s="12">
        <f t="shared" ca="1" si="10"/>
        <v>46035</v>
      </c>
      <c r="G340" s="11">
        <f ca="1">NETWORKDAYS.INTL(A340,F340,1,'Feriado 2026'!$A$2:$A$14)</f>
        <v>4</v>
      </c>
      <c r="H340" s="11" t="str">
        <f t="shared" ca="1" si="11"/>
        <v>Fora do SLA</v>
      </c>
    </row>
    <row r="341" spans="1:8" x14ac:dyDescent="0.3">
      <c r="A341" s="12">
        <v>46031</v>
      </c>
      <c r="B341" s="11" t="s">
        <v>1002</v>
      </c>
      <c r="C341" s="11" t="s">
        <v>1003</v>
      </c>
      <c r="D341" s="11" t="s">
        <v>1004</v>
      </c>
      <c r="E341" s="11" t="s">
        <v>24</v>
      </c>
      <c r="F341" s="12">
        <f t="shared" ca="1" si="10"/>
        <v>46035</v>
      </c>
      <c r="G341" s="11">
        <f ca="1">NETWORKDAYS.INTL(A341,F341,1,'Feriado 2026'!$A$2:$A$14)</f>
        <v>3</v>
      </c>
      <c r="H341" s="11" t="str">
        <f t="shared" ca="1" si="11"/>
        <v>Fora do SLA</v>
      </c>
    </row>
    <row r="342" spans="1:8" x14ac:dyDescent="0.3">
      <c r="A342" s="12">
        <v>46031</v>
      </c>
      <c r="B342" s="11" t="s">
        <v>1005</v>
      </c>
      <c r="C342" s="11" t="s">
        <v>1006</v>
      </c>
      <c r="D342" s="11" t="s">
        <v>1007</v>
      </c>
      <c r="E342" s="11" t="s">
        <v>24</v>
      </c>
      <c r="F342" s="12">
        <f t="shared" ca="1" si="10"/>
        <v>46035</v>
      </c>
      <c r="G342" s="11">
        <f ca="1">NETWORKDAYS.INTL(A342,F342,1,'Feriado 2026'!$A$2:$A$14)</f>
        <v>3</v>
      </c>
      <c r="H342" s="11" t="str">
        <f t="shared" ca="1" si="11"/>
        <v>Fora do SLA</v>
      </c>
    </row>
    <row r="343" spans="1:8" x14ac:dyDescent="0.3">
      <c r="A343" s="12">
        <v>46031</v>
      </c>
      <c r="B343" s="11" t="s">
        <v>1008</v>
      </c>
      <c r="C343" s="11" t="s">
        <v>1009</v>
      </c>
      <c r="D343" s="11" t="s">
        <v>1010</v>
      </c>
      <c r="E343" s="11" t="s">
        <v>24</v>
      </c>
      <c r="F343" s="12">
        <f t="shared" ca="1" si="10"/>
        <v>46035</v>
      </c>
      <c r="G343" s="11">
        <f ca="1">NETWORKDAYS.INTL(A343,F343,1,'Feriado 2026'!$A$2:$A$14)</f>
        <v>3</v>
      </c>
      <c r="H343" s="11" t="str">
        <f t="shared" ca="1" si="11"/>
        <v>Fora do SLA</v>
      </c>
    </row>
    <row r="344" spans="1:8" x14ac:dyDescent="0.3">
      <c r="A344" s="12">
        <v>46031</v>
      </c>
      <c r="B344" s="11" t="s">
        <v>1011</v>
      </c>
      <c r="C344" s="11" t="s">
        <v>1012</v>
      </c>
      <c r="D344" s="11" t="s">
        <v>1013</v>
      </c>
      <c r="E344" s="11" t="s">
        <v>24</v>
      </c>
      <c r="F344" s="12">
        <f t="shared" ca="1" si="10"/>
        <v>46035</v>
      </c>
      <c r="G344" s="11">
        <f ca="1">NETWORKDAYS.INTL(A344,F344,1,'Feriado 2026'!$A$2:$A$14)</f>
        <v>3</v>
      </c>
      <c r="H344" s="11" t="str">
        <f t="shared" ca="1" si="11"/>
        <v>Fora do SLA</v>
      </c>
    </row>
    <row r="345" spans="1:8" x14ac:dyDescent="0.3">
      <c r="A345" s="16">
        <v>46034</v>
      </c>
      <c r="B345" s="17" t="s">
        <v>1043</v>
      </c>
      <c r="C345" s="18" t="s">
        <v>1044</v>
      </c>
      <c r="D345" s="11" t="s">
        <v>1049</v>
      </c>
      <c r="E345" s="11" t="s">
        <v>24</v>
      </c>
      <c r="F345" s="12">
        <f t="shared" ca="1" si="10"/>
        <v>46035</v>
      </c>
      <c r="G345" s="11">
        <f ca="1">NETWORKDAYS.INTL(A345,F345,1,'Feriado 2026'!$A$2:$A$14)</f>
        <v>2</v>
      </c>
      <c r="H345" s="11" t="str">
        <f t="shared" ca="1" si="11"/>
        <v>Dentro do SLA</v>
      </c>
    </row>
    <row r="346" spans="1:8" x14ac:dyDescent="0.3">
      <c r="A346" s="16">
        <v>46034</v>
      </c>
      <c r="B346" s="17" t="s">
        <v>1045</v>
      </c>
      <c r="C346" s="18" t="s">
        <v>1046</v>
      </c>
      <c r="D346" s="11" t="s">
        <v>1050</v>
      </c>
      <c r="E346" s="11" t="s">
        <v>24</v>
      </c>
      <c r="F346" s="12">
        <f t="shared" ca="1" si="10"/>
        <v>46035</v>
      </c>
      <c r="G346" s="11">
        <f ca="1">NETWORKDAYS.INTL(A346,F346,1,'Feriado 2026'!$A$2:$A$14)</f>
        <v>2</v>
      </c>
      <c r="H346" s="11" t="str">
        <f t="shared" ca="1" si="11"/>
        <v>Dentro do SLA</v>
      </c>
    </row>
    <row r="347" spans="1:8" x14ac:dyDescent="0.3">
      <c r="A347" s="16">
        <v>46034</v>
      </c>
      <c r="B347" s="17" t="s">
        <v>1047</v>
      </c>
      <c r="C347" s="18" t="s">
        <v>1048</v>
      </c>
      <c r="D347" s="11" t="s">
        <v>1051</v>
      </c>
      <c r="E347" s="11" t="s">
        <v>24</v>
      </c>
      <c r="F347" s="12">
        <f t="shared" ca="1" si="10"/>
        <v>46035</v>
      </c>
      <c r="G347" s="11">
        <f ca="1">NETWORKDAYS.INTL(A347,F347,1,'Feriado 2026'!$A$2:$A$14)</f>
        <v>2</v>
      </c>
      <c r="H347" s="11" t="str">
        <f t="shared" ca="1" si="11"/>
        <v>Dentro do SLA</v>
      </c>
    </row>
  </sheetData>
  <autoFilter ref="A1:H1" xr:uid="{89449934-034D-49EE-836A-8F45BE113B69}"/>
  <hyperlinks>
    <hyperlink ref="C345" r:id="rId1" display="https://midea-carrier.atlassian.net/servicedesk/customer/portal/101/AFS-53311" xr:uid="{C97F169D-1AF2-4EF9-BF5D-3B6102417FAF}"/>
    <hyperlink ref="C346" r:id="rId2" display="https://midea-carrier.atlassian.net/servicedesk/customer/portal/101/AFS-53355" xr:uid="{DC31DA9F-BF3E-431A-AA9B-386449B5DB4A}"/>
    <hyperlink ref="C347" r:id="rId3" display="https://midea-carrier.atlassian.net/servicedesk/customer/portal/101/AFS-53374" xr:uid="{863E6BBA-AEFE-48A6-A2F6-C7A88DA21612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8492-B129-4287-A176-01DF3753E94D}">
  <dimension ref="A1:C30"/>
  <sheetViews>
    <sheetView workbookViewId="0">
      <selection activeCell="J34" sqref="J34"/>
    </sheetView>
  </sheetViews>
  <sheetFormatPr defaultRowHeight="14.4" x14ac:dyDescent="0.3"/>
  <cols>
    <col min="1" max="1" width="10" style="3" bestFit="1" customWidth="1"/>
    <col min="2" max="2" width="13.109375" bestFit="1" customWidth="1"/>
    <col min="3" max="3" width="34.77734375" bestFit="1" customWidth="1"/>
  </cols>
  <sheetData>
    <row r="1" spans="1:3" ht="15" customHeight="1" x14ac:dyDescent="0.3">
      <c r="A1" s="9" t="s">
        <v>1021</v>
      </c>
      <c r="B1" s="4" t="s">
        <v>1022</v>
      </c>
      <c r="C1" s="4" t="s">
        <v>1023</v>
      </c>
    </row>
    <row r="2" spans="1:3" ht="15" customHeight="1" x14ac:dyDescent="0.3">
      <c r="A2" s="5">
        <v>45658</v>
      </c>
      <c r="B2" s="6" t="s">
        <v>1024</v>
      </c>
      <c r="C2" s="6" t="s">
        <v>1025</v>
      </c>
    </row>
    <row r="3" spans="1:3" ht="15" customHeight="1" x14ac:dyDescent="0.3">
      <c r="A3" s="7">
        <v>45719</v>
      </c>
      <c r="B3" s="8" t="s">
        <v>1026</v>
      </c>
      <c r="C3" s="8" t="s">
        <v>1027</v>
      </c>
    </row>
    <row r="4" spans="1:3" ht="15" customHeight="1" x14ac:dyDescent="0.3">
      <c r="A4" s="5">
        <v>45720</v>
      </c>
      <c r="B4" s="6" t="s">
        <v>1028</v>
      </c>
      <c r="C4" s="6" t="s">
        <v>1027</v>
      </c>
    </row>
    <row r="5" spans="1:3" ht="15" customHeight="1" x14ac:dyDescent="0.3">
      <c r="A5" s="7">
        <v>45765</v>
      </c>
      <c r="B5" s="8" t="s">
        <v>1029</v>
      </c>
      <c r="C5" s="8" t="s">
        <v>1030</v>
      </c>
    </row>
    <row r="6" spans="1:3" ht="15" customHeight="1" x14ac:dyDescent="0.3">
      <c r="A6" s="5">
        <v>45768</v>
      </c>
      <c r="B6" s="6" t="s">
        <v>1026</v>
      </c>
      <c r="C6" s="6" t="s">
        <v>1031</v>
      </c>
    </row>
    <row r="7" spans="1:3" ht="15" customHeight="1" x14ac:dyDescent="0.3">
      <c r="A7" s="7">
        <v>45778</v>
      </c>
      <c r="B7" s="8" t="s">
        <v>1032</v>
      </c>
      <c r="C7" s="8" t="s">
        <v>1033</v>
      </c>
    </row>
    <row r="8" spans="1:3" ht="15" customHeight="1" x14ac:dyDescent="0.3">
      <c r="A8" s="5">
        <v>45827</v>
      </c>
      <c r="B8" s="6" t="s">
        <v>1032</v>
      </c>
      <c r="C8" s="6" t="s">
        <v>1034</v>
      </c>
    </row>
    <row r="9" spans="1:3" ht="15" customHeight="1" x14ac:dyDescent="0.3">
      <c r="A9" s="7">
        <v>45907</v>
      </c>
      <c r="B9" s="8" t="s">
        <v>1035</v>
      </c>
      <c r="C9" s="8" t="s">
        <v>1036</v>
      </c>
    </row>
    <row r="10" spans="1:3" ht="15" customHeight="1" x14ac:dyDescent="0.3">
      <c r="A10" s="5">
        <v>45942</v>
      </c>
      <c r="B10" s="6" t="s">
        <v>1035</v>
      </c>
      <c r="C10" s="6" t="s">
        <v>1037</v>
      </c>
    </row>
    <row r="11" spans="1:3" ht="15" customHeight="1" x14ac:dyDescent="0.3">
      <c r="A11" s="7">
        <v>45963</v>
      </c>
      <c r="B11" s="8" t="s">
        <v>1035</v>
      </c>
      <c r="C11" s="8" t="s">
        <v>1038</v>
      </c>
    </row>
    <row r="12" spans="1:3" ht="15" customHeight="1" x14ac:dyDescent="0.3">
      <c r="A12" s="5">
        <v>45976</v>
      </c>
      <c r="B12" s="6" t="s">
        <v>1039</v>
      </c>
      <c r="C12" s="6" t="s">
        <v>1040</v>
      </c>
    </row>
    <row r="13" spans="1:3" ht="15" customHeight="1" x14ac:dyDescent="0.3">
      <c r="A13" s="7">
        <v>45981</v>
      </c>
      <c r="B13" s="8" t="s">
        <v>1032</v>
      </c>
      <c r="C13" s="8" t="s">
        <v>1041</v>
      </c>
    </row>
    <row r="14" spans="1:3" ht="15" customHeight="1" x14ac:dyDescent="0.3">
      <c r="A14" s="5">
        <v>46016</v>
      </c>
      <c r="B14" s="6" t="s">
        <v>1032</v>
      </c>
      <c r="C14" s="6" t="s">
        <v>1042</v>
      </c>
    </row>
    <row r="17" spans="1:3" ht="15" customHeight="1" x14ac:dyDescent="0.3">
      <c r="A17" s="9" t="s">
        <v>1021</v>
      </c>
      <c r="B17" s="4" t="s">
        <v>1022</v>
      </c>
      <c r="C17" s="4" t="s">
        <v>1023</v>
      </c>
    </row>
    <row r="18" spans="1:3" ht="15" customHeight="1" x14ac:dyDescent="0.3">
      <c r="A18" s="5">
        <v>46023</v>
      </c>
      <c r="B18" s="6" t="s">
        <v>1032</v>
      </c>
      <c r="C18" s="6" t="s">
        <v>1025</v>
      </c>
    </row>
    <row r="19" spans="1:3" ht="15" customHeight="1" x14ac:dyDescent="0.3">
      <c r="A19" s="7">
        <v>46069</v>
      </c>
      <c r="B19" s="8" t="s">
        <v>1026</v>
      </c>
      <c r="C19" s="8" t="s">
        <v>1027</v>
      </c>
    </row>
    <row r="20" spans="1:3" ht="15" customHeight="1" x14ac:dyDescent="0.3">
      <c r="A20" s="5">
        <v>46070</v>
      </c>
      <c r="B20" s="6" t="s">
        <v>1028</v>
      </c>
      <c r="C20" s="6" t="s">
        <v>1027</v>
      </c>
    </row>
    <row r="21" spans="1:3" ht="15" customHeight="1" x14ac:dyDescent="0.3">
      <c r="A21" s="7">
        <v>46115</v>
      </c>
      <c r="B21" s="8" t="s">
        <v>1029</v>
      </c>
      <c r="C21" s="8" t="s">
        <v>1030</v>
      </c>
    </row>
    <row r="22" spans="1:3" ht="15" customHeight="1" x14ac:dyDescent="0.3">
      <c r="A22" s="5">
        <v>46133</v>
      </c>
      <c r="B22" s="6" t="s">
        <v>1028</v>
      </c>
      <c r="C22" s="6" t="s">
        <v>1031</v>
      </c>
    </row>
    <row r="23" spans="1:3" ht="15" customHeight="1" x14ac:dyDescent="0.3">
      <c r="A23" s="7">
        <v>46143</v>
      </c>
      <c r="B23" s="8" t="s">
        <v>1029</v>
      </c>
      <c r="C23" s="8" t="s">
        <v>1033</v>
      </c>
    </row>
    <row r="24" spans="1:3" ht="15" customHeight="1" x14ac:dyDescent="0.3">
      <c r="A24" s="5">
        <v>46177</v>
      </c>
      <c r="B24" s="6" t="s">
        <v>1032</v>
      </c>
      <c r="C24" s="6" t="s">
        <v>1034</v>
      </c>
    </row>
    <row r="25" spans="1:3" ht="15" customHeight="1" x14ac:dyDescent="0.3">
      <c r="A25" s="7">
        <v>46272</v>
      </c>
      <c r="B25" s="8" t="s">
        <v>1026</v>
      </c>
      <c r="C25" s="8" t="s">
        <v>1036</v>
      </c>
    </row>
    <row r="26" spans="1:3" ht="15" customHeight="1" x14ac:dyDescent="0.3">
      <c r="A26" s="5">
        <v>46307</v>
      </c>
      <c r="B26" s="6" t="s">
        <v>1026</v>
      </c>
      <c r="C26" s="6" t="s">
        <v>1037</v>
      </c>
    </row>
    <row r="27" spans="1:3" ht="15" customHeight="1" x14ac:dyDescent="0.3">
      <c r="A27" s="7">
        <v>46328</v>
      </c>
      <c r="B27" s="8" t="s">
        <v>1026</v>
      </c>
      <c r="C27" s="8" t="s">
        <v>1038</v>
      </c>
    </row>
    <row r="28" spans="1:3" ht="15" customHeight="1" x14ac:dyDescent="0.3">
      <c r="A28" s="5">
        <v>46341</v>
      </c>
      <c r="B28" s="6" t="s">
        <v>1035</v>
      </c>
      <c r="C28" s="6" t="s">
        <v>1040</v>
      </c>
    </row>
    <row r="29" spans="1:3" ht="15" customHeight="1" x14ac:dyDescent="0.3">
      <c r="A29" s="7">
        <v>46346</v>
      </c>
      <c r="B29" s="8" t="s">
        <v>1029</v>
      </c>
      <c r="C29" s="8" t="s">
        <v>1041</v>
      </c>
    </row>
    <row r="30" spans="1:3" ht="15" customHeight="1" x14ac:dyDescent="0.3">
      <c r="A30" s="5">
        <v>46381</v>
      </c>
      <c r="B30" s="6" t="s">
        <v>1029</v>
      </c>
      <c r="C30" s="6" t="s">
        <v>1042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D678-2B11-4CE8-A840-1CAA60920607}">
  <dimension ref="A3:D348"/>
  <sheetViews>
    <sheetView workbookViewId="0">
      <selection activeCell="E4" sqref="E4"/>
    </sheetView>
  </sheetViews>
  <sheetFormatPr defaultRowHeight="14.4" x14ac:dyDescent="0.3"/>
  <cols>
    <col min="1" max="1" width="24.88671875" bestFit="1" customWidth="1"/>
    <col min="2" max="2" width="18.109375" bestFit="1" customWidth="1"/>
    <col min="3" max="3" width="9.109375" bestFit="1" customWidth="1"/>
    <col min="4" max="4" width="10" bestFit="1" customWidth="1"/>
    <col min="5" max="197" width="9.88671875" bestFit="1" customWidth="1"/>
    <col min="198" max="198" width="14" bestFit="1" customWidth="1"/>
    <col min="199" max="199" width="10.77734375" bestFit="1" customWidth="1"/>
    <col min="200" max="224" width="9.88671875" bestFit="1" customWidth="1"/>
    <col min="225" max="225" width="10.21875" bestFit="1" customWidth="1"/>
    <col min="226" max="345" width="9.88671875" bestFit="1" customWidth="1"/>
    <col min="346" max="346" width="13.6640625" bestFit="1" customWidth="1"/>
    <col min="347" max="347" width="10" bestFit="1" customWidth="1"/>
  </cols>
  <sheetData>
    <row r="3" spans="1:4" x14ac:dyDescent="0.3">
      <c r="A3" s="1" t="s">
        <v>1018</v>
      </c>
      <c r="B3" s="1" t="s">
        <v>1017</v>
      </c>
    </row>
    <row r="4" spans="1:4" x14ac:dyDescent="0.3">
      <c r="A4" s="1" t="s">
        <v>1015</v>
      </c>
      <c r="B4" t="s">
        <v>24</v>
      </c>
      <c r="C4" t="s">
        <v>8</v>
      </c>
      <c r="D4" t="s">
        <v>1016</v>
      </c>
    </row>
    <row r="5" spans="1:4" x14ac:dyDescent="0.3">
      <c r="A5" s="2" t="s">
        <v>29</v>
      </c>
      <c r="C5">
        <v>1</v>
      </c>
      <c r="D5">
        <v>1</v>
      </c>
    </row>
    <row r="6" spans="1:4" x14ac:dyDescent="0.3">
      <c r="A6" s="2" t="s">
        <v>32</v>
      </c>
      <c r="C6">
        <v>1</v>
      </c>
      <c r="D6">
        <v>1</v>
      </c>
    </row>
    <row r="7" spans="1:4" x14ac:dyDescent="0.3">
      <c r="A7" s="2" t="s">
        <v>35</v>
      </c>
      <c r="C7">
        <v>1</v>
      </c>
      <c r="D7">
        <v>1</v>
      </c>
    </row>
    <row r="8" spans="1:4" x14ac:dyDescent="0.3">
      <c r="A8" s="2" t="s">
        <v>38</v>
      </c>
      <c r="C8">
        <v>1</v>
      </c>
      <c r="D8">
        <v>1</v>
      </c>
    </row>
    <row r="9" spans="1:4" x14ac:dyDescent="0.3">
      <c r="A9" s="2" t="s">
        <v>41</v>
      </c>
      <c r="B9">
        <v>1</v>
      </c>
      <c r="D9">
        <v>1</v>
      </c>
    </row>
    <row r="10" spans="1:4" x14ac:dyDescent="0.3">
      <c r="A10" s="2" t="s">
        <v>43</v>
      </c>
      <c r="B10">
        <v>1</v>
      </c>
      <c r="D10">
        <v>1</v>
      </c>
    </row>
    <row r="11" spans="1:4" x14ac:dyDescent="0.3">
      <c r="A11" s="2" t="s">
        <v>19</v>
      </c>
      <c r="C11">
        <v>1</v>
      </c>
      <c r="D11">
        <v>1</v>
      </c>
    </row>
    <row r="12" spans="1:4" x14ac:dyDescent="0.3">
      <c r="A12" s="2" t="s">
        <v>16</v>
      </c>
      <c r="C12">
        <v>1</v>
      </c>
      <c r="D12">
        <v>1</v>
      </c>
    </row>
    <row r="13" spans="1:4" x14ac:dyDescent="0.3">
      <c r="A13" s="2" t="s">
        <v>13</v>
      </c>
      <c r="C13">
        <v>1</v>
      </c>
      <c r="D13">
        <v>1</v>
      </c>
    </row>
    <row r="14" spans="1:4" x14ac:dyDescent="0.3">
      <c r="A14" s="2" t="s">
        <v>10</v>
      </c>
      <c r="C14">
        <v>1</v>
      </c>
      <c r="D14">
        <v>1</v>
      </c>
    </row>
    <row r="15" spans="1:4" x14ac:dyDescent="0.3">
      <c r="A15" s="2" t="s">
        <v>6</v>
      </c>
      <c r="C15">
        <v>1</v>
      </c>
      <c r="D15">
        <v>1</v>
      </c>
    </row>
    <row r="16" spans="1:4" x14ac:dyDescent="0.3">
      <c r="A16" s="2" t="s">
        <v>26</v>
      </c>
      <c r="B16">
        <v>1</v>
      </c>
      <c r="D16">
        <v>1</v>
      </c>
    </row>
    <row r="17" spans="1:4" x14ac:dyDescent="0.3">
      <c r="A17" s="2" t="s">
        <v>22</v>
      </c>
      <c r="B17">
        <v>1</v>
      </c>
      <c r="D17">
        <v>1</v>
      </c>
    </row>
    <row r="18" spans="1:4" x14ac:dyDescent="0.3">
      <c r="A18" s="2" t="s">
        <v>45</v>
      </c>
      <c r="C18">
        <v>1</v>
      </c>
      <c r="D18">
        <v>1</v>
      </c>
    </row>
    <row r="19" spans="1:4" x14ac:dyDescent="0.3">
      <c r="A19" s="2" t="s">
        <v>70</v>
      </c>
      <c r="C19">
        <v>1</v>
      </c>
      <c r="D19">
        <v>1</v>
      </c>
    </row>
    <row r="20" spans="1:4" x14ac:dyDescent="0.3">
      <c r="A20" s="2" t="s">
        <v>67</v>
      </c>
      <c r="C20">
        <v>1</v>
      </c>
      <c r="D20">
        <v>1</v>
      </c>
    </row>
    <row r="21" spans="1:4" x14ac:dyDescent="0.3">
      <c r="A21" s="2" t="s">
        <v>64</v>
      </c>
      <c r="C21">
        <v>1</v>
      </c>
      <c r="D21">
        <v>1</v>
      </c>
    </row>
    <row r="22" spans="1:4" x14ac:dyDescent="0.3">
      <c r="A22" s="2" t="s">
        <v>61</v>
      </c>
      <c r="C22">
        <v>1</v>
      </c>
      <c r="D22">
        <v>1</v>
      </c>
    </row>
    <row r="23" spans="1:4" x14ac:dyDescent="0.3">
      <c r="A23" s="2" t="s">
        <v>58</v>
      </c>
      <c r="B23">
        <v>1</v>
      </c>
      <c r="D23">
        <v>1</v>
      </c>
    </row>
    <row r="24" spans="1:4" x14ac:dyDescent="0.3">
      <c r="A24" s="2" t="s">
        <v>56</v>
      </c>
      <c r="B24">
        <v>1</v>
      </c>
      <c r="D24">
        <v>1</v>
      </c>
    </row>
    <row r="25" spans="1:4" x14ac:dyDescent="0.3">
      <c r="A25" s="2" t="s">
        <v>54</v>
      </c>
      <c r="B25">
        <v>1</v>
      </c>
      <c r="D25">
        <v>1</v>
      </c>
    </row>
    <row r="26" spans="1:4" x14ac:dyDescent="0.3">
      <c r="A26" s="2" t="s">
        <v>51</v>
      </c>
      <c r="B26">
        <v>1</v>
      </c>
      <c r="D26">
        <v>1</v>
      </c>
    </row>
    <row r="27" spans="1:4" x14ac:dyDescent="0.3">
      <c r="A27" s="2" t="s">
        <v>48</v>
      </c>
      <c r="B27">
        <v>1</v>
      </c>
      <c r="D27">
        <v>1</v>
      </c>
    </row>
    <row r="28" spans="1:4" x14ac:dyDescent="0.3">
      <c r="A28" s="2" t="s">
        <v>92</v>
      </c>
      <c r="B28">
        <v>1</v>
      </c>
      <c r="D28">
        <v>1</v>
      </c>
    </row>
    <row r="29" spans="1:4" x14ac:dyDescent="0.3">
      <c r="A29" s="2" t="s">
        <v>90</v>
      </c>
      <c r="B29">
        <v>1</v>
      </c>
      <c r="D29">
        <v>1</v>
      </c>
    </row>
    <row r="30" spans="1:4" x14ac:dyDescent="0.3">
      <c r="A30" s="2" t="s">
        <v>88</v>
      </c>
      <c r="B30">
        <v>1</v>
      </c>
      <c r="D30">
        <v>1</v>
      </c>
    </row>
    <row r="31" spans="1:4" x14ac:dyDescent="0.3">
      <c r="A31" s="2" t="s">
        <v>85</v>
      </c>
      <c r="B31">
        <v>1</v>
      </c>
      <c r="D31">
        <v>1</v>
      </c>
    </row>
    <row r="32" spans="1:4" x14ac:dyDescent="0.3">
      <c r="A32" s="2" t="s">
        <v>82</v>
      </c>
      <c r="B32">
        <v>1</v>
      </c>
      <c r="D32">
        <v>1</v>
      </c>
    </row>
    <row r="33" spans="1:4" x14ac:dyDescent="0.3">
      <c r="A33" s="2" t="s">
        <v>79</v>
      </c>
      <c r="B33">
        <v>1</v>
      </c>
      <c r="D33">
        <v>1</v>
      </c>
    </row>
    <row r="34" spans="1:4" x14ac:dyDescent="0.3">
      <c r="A34" s="2" t="s">
        <v>76</v>
      </c>
      <c r="B34">
        <v>1</v>
      </c>
      <c r="D34">
        <v>1</v>
      </c>
    </row>
    <row r="35" spans="1:4" x14ac:dyDescent="0.3">
      <c r="A35" s="2" t="s">
        <v>73</v>
      </c>
      <c r="B35">
        <v>1</v>
      </c>
      <c r="D35">
        <v>1</v>
      </c>
    </row>
    <row r="36" spans="1:4" x14ac:dyDescent="0.3">
      <c r="A36" s="2" t="s">
        <v>95</v>
      </c>
      <c r="B36">
        <v>1</v>
      </c>
      <c r="D36">
        <v>1</v>
      </c>
    </row>
    <row r="37" spans="1:4" x14ac:dyDescent="0.3">
      <c r="A37" s="2" t="s">
        <v>98</v>
      </c>
      <c r="B37">
        <v>1</v>
      </c>
      <c r="D37">
        <v>1</v>
      </c>
    </row>
    <row r="38" spans="1:4" x14ac:dyDescent="0.3">
      <c r="A38" s="2" t="s">
        <v>101</v>
      </c>
      <c r="B38">
        <v>1</v>
      </c>
      <c r="D38">
        <v>1</v>
      </c>
    </row>
    <row r="39" spans="1:4" x14ac:dyDescent="0.3">
      <c r="A39" s="2" t="s">
        <v>104</v>
      </c>
      <c r="B39">
        <v>1</v>
      </c>
      <c r="D39">
        <v>1</v>
      </c>
    </row>
    <row r="40" spans="1:4" x14ac:dyDescent="0.3">
      <c r="A40" s="2" t="s">
        <v>107</v>
      </c>
      <c r="B40">
        <v>1</v>
      </c>
      <c r="D40">
        <v>1</v>
      </c>
    </row>
    <row r="41" spans="1:4" x14ac:dyDescent="0.3">
      <c r="A41" s="2" t="s">
        <v>110</v>
      </c>
      <c r="C41">
        <v>1</v>
      </c>
      <c r="D41">
        <v>1</v>
      </c>
    </row>
    <row r="42" spans="1:4" x14ac:dyDescent="0.3">
      <c r="A42" s="2" t="s">
        <v>113</v>
      </c>
      <c r="B42">
        <v>1</v>
      </c>
      <c r="D42">
        <v>1</v>
      </c>
    </row>
    <row r="43" spans="1:4" x14ac:dyDescent="0.3">
      <c r="A43" s="2" t="s">
        <v>116</v>
      </c>
      <c r="B43">
        <v>1</v>
      </c>
      <c r="D43">
        <v>1</v>
      </c>
    </row>
    <row r="44" spans="1:4" x14ac:dyDescent="0.3">
      <c r="A44" s="2" t="s">
        <v>119</v>
      </c>
      <c r="B44">
        <v>1</v>
      </c>
      <c r="D44">
        <v>1</v>
      </c>
    </row>
    <row r="45" spans="1:4" x14ac:dyDescent="0.3">
      <c r="A45" s="2" t="s">
        <v>122</v>
      </c>
      <c r="C45">
        <v>1</v>
      </c>
      <c r="D45">
        <v>1</v>
      </c>
    </row>
    <row r="46" spans="1:4" x14ac:dyDescent="0.3">
      <c r="A46" s="2" t="s">
        <v>125</v>
      </c>
      <c r="B46">
        <v>1</v>
      </c>
      <c r="D46">
        <v>1</v>
      </c>
    </row>
    <row r="47" spans="1:4" x14ac:dyDescent="0.3">
      <c r="A47" s="2" t="s">
        <v>127</v>
      </c>
      <c r="C47">
        <v>1</v>
      </c>
      <c r="D47">
        <v>1</v>
      </c>
    </row>
    <row r="48" spans="1:4" x14ac:dyDescent="0.3">
      <c r="A48" s="2" t="s">
        <v>130</v>
      </c>
      <c r="C48">
        <v>1</v>
      </c>
      <c r="D48">
        <v>1</v>
      </c>
    </row>
    <row r="49" spans="1:4" x14ac:dyDescent="0.3">
      <c r="A49" s="2" t="s">
        <v>133</v>
      </c>
      <c r="C49">
        <v>1</v>
      </c>
      <c r="D49">
        <v>1</v>
      </c>
    </row>
    <row r="50" spans="1:4" x14ac:dyDescent="0.3">
      <c r="A50" s="2" t="s">
        <v>136</v>
      </c>
      <c r="C50">
        <v>1</v>
      </c>
      <c r="D50">
        <v>1</v>
      </c>
    </row>
    <row r="51" spans="1:4" x14ac:dyDescent="0.3">
      <c r="A51" s="2" t="s">
        <v>139</v>
      </c>
      <c r="C51">
        <v>1</v>
      </c>
      <c r="D51">
        <v>1</v>
      </c>
    </row>
    <row r="52" spans="1:4" x14ac:dyDescent="0.3">
      <c r="A52" s="2" t="s">
        <v>141</v>
      </c>
      <c r="B52">
        <v>1</v>
      </c>
      <c r="D52">
        <v>1</v>
      </c>
    </row>
    <row r="53" spans="1:4" x14ac:dyDescent="0.3">
      <c r="A53" s="2" t="s">
        <v>143</v>
      </c>
      <c r="B53">
        <v>1</v>
      </c>
      <c r="D53">
        <v>1</v>
      </c>
    </row>
    <row r="54" spans="1:4" x14ac:dyDescent="0.3">
      <c r="A54" s="2" t="s">
        <v>145</v>
      </c>
      <c r="C54">
        <v>1</v>
      </c>
      <c r="D54">
        <v>1</v>
      </c>
    </row>
    <row r="55" spans="1:4" x14ac:dyDescent="0.3">
      <c r="A55" s="2" t="s">
        <v>148</v>
      </c>
      <c r="C55">
        <v>1</v>
      </c>
      <c r="D55">
        <v>1</v>
      </c>
    </row>
    <row r="56" spans="1:4" x14ac:dyDescent="0.3">
      <c r="A56" s="2" t="s">
        <v>151</v>
      </c>
      <c r="C56">
        <v>1</v>
      </c>
      <c r="D56">
        <v>1</v>
      </c>
    </row>
    <row r="57" spans="1:4" x14ac:dyDescent="0.3">
      <c r="A57" s="2" t="s">
        <v>154</v>
      </c>
      <c r="C57">
        <v>1</v>
      </c>
      <c r="D57">
        <v>1</v>
      </c>
    </row>
    <row r="58" spans="1:4" x14ac:dyDescent="0.3">
      <c r="A58" s="2" t="s">
        <v>157</v>
      </c>
      <c r="C58">
        <v>1</v>
      </c>
      <c r="D58">
        <v>1</v>
      </c>
    </row>
    <row r="59" spans="1:4" x14ac:dyDescent="0.3">
      <c r="A59" s="2" t="s">
        <v>208</v>
      </c>
      <c r="C59">
        <v>1</v>
      </c>
      <c r="D59">
        <v>1</v>
      </c>
    </row>
    <row r="60" spans="1:4" x14ac:dyDescent="0.3">
      <c r="A60" s="2" t="s">
        <v>160</v>
      </c>
      <c r="C60">
        <v>1</v>
      </c>
      <c r="D60">
        <v>1</v>
      </c>
    </row>
    <row r="61" spans="1:4" x14ac:dyDescent="0.3">
      <c r="A61" s="2" t="s">
        <v>210</v>
      </c>
      <c r="C61">
        <v>1</v>
      </c>
      <c r="D61">
        <v>1</v>
      </c>
    </row>
    <row r="62" spans="1:4" x14ac:dyDescent="0.3">
      <c r="A62" s="2" t="s">
        <v>163</v>
      </c>
      <c r="B62">
        <v>1</v>
      </c>
      <c r="D62">
        <v>1</v>
      </c>
    </row>
    <row r="63" spans="1:4" x14ac:dyDescent="0.3">
      <c r="A63" s="2" t="s">
        <v>166</v>
      </c>
      <c r="C63">
        <v>1</v>
      </c>
      <c r="D63">
        <v>1</v>
      </c>
    </row>
    <row r="64" spans="1:4" x14ac:dyDescent="0.3">
      <c r="A64" s="2" t="s">
        <v>169</v>
      </c>
      <c r="C64">
        <v>1</v>
      </c>
      <c r="D64">
        <v>1</v>
      </c>
    </row>
    <row r="65" spans="1:4" x14ac:dyDescent="0.3">
      <c r="A65" s="2" t="s">
        <v>171</v>
      </c>
      <c r="B65">
        <v>1</v>
      </c>
      <c r="D65">
        <v>1</v>
      </c>
    </row>
    <row r="66" spans="1:4" x14ac:dyDescent="0.3">
      <c r="A66" s="2" t="s">
        <v>173</v>
      </c>
      <c r="B66">
        <v>1</v>
      </c>
      <c r="D66">
        <v>1</v>
      </c>
    </row>
    <row r="67" spans="1:4" x14ac:dyDescent="0.3">
      <c r="A67" s="2" t="s">
        <v>176</v>
      </c>
      <c r="C67">
        <v>1</v>
      </c>
      <c r="D67">
        <v>1</v>
      </c>
    </row>
    <row r="68" spans="1:4" x14ac:dyDescent="0.3">
      <c r="A68" s="2" t="s">
        <v>179</v>
      </c>
      <c r="C68">
        <v>1</v>
      </c>
      <c r="D68">
        <v>1</v>
      </c>
    </row>
    <row r="69" spans="1:4" x14ac:dyDescent="0.3">
      <c r="A69" s="2" t="s">
        <v>182</v>
      </c>
      <c r="C69">
        <v>1</v>
      </c>
      <c r="D69">
        <v>1</v>
      </c>
    </row>
    <row r="70" spans="1:4" x14ac:dyDescent="0.3">
      <c r="A70" s="2" t="s">
        <v>185</v>
      </c>
      <c r="C70">
        <v>1</v>
      </c>
      <c r="D70">
        <v>1</v>
      </c>
    </row>
    <row r="71" spans="1:4" x14ac:dyDescent="0.3">
      <c r="A71" s="2" t="s">
        <v>188</v>
      </c>
      <c r="C71">
        <v>1</v>
      </c>
      <c r="D71">
        <v>1</v>
      </c>
    </row>
    <row r="72" spans="1:4" x14ac:dyDescent="0.3">
      <c r="A72" s="2" t="s">
        <v>191</v>
      </c>
      <c r="C72">
        <v>1</v>
      </c>
      <c r="D72">
        <v>1</v>
      </c>
    </row>
    <row r="73" spans="1:4" x14ac:dyDescent="0.3">
      <c r="A73" s="2" t="s">
        <v>194</v>
      </c>
      <c r="B73">
        <v>1</v>
      </c>
      <c r="D73">
        <v>1</v>
      </c>
    </row>
    <row r="74" spans="1:4" x14ac:dyDescent="0.3">
      <c r="A74" s="2" t="s">
        <v>197</v>
      </c>
      <c r="C74">
        <v>1</v>
      </c>
      <c r="D74">
        <v>1</v>
      </c>
    </row>
    <row r="75" spans="1:4" x14ac:dyDescent="0.3">
      <c r="A75" s="2" t="s">
        <v>200</v>
      </c>
      <c r="B75">
        <v>1</v>
      </c>
      <c r="D75">
        <v>1</v>
      </c>
    </row>
    <row r="76" spans="1:4" x14ac:dyDescent="0.3">
      <c r="A76" s="2" t="s">
        <v>203</v>
      </c>
      <c r="B76">
        <v>1</v>
      </c>
      <c r="D76">
        <v>1</v>
      </c>
    </row>
    <row r="77" spans="1:4" x14ac:dyDescent="0.3">
      <c r="A77" s="2" t="s">
        <v>206</v>
      </c>
      <c r="B77">
        <v>1</v>
      </c>
      <c r="D77">
        <v>1</v>
      </c>
    </row>
    <row r="78" spans="1:4" x14ac:dyDescent="0.3">
      <c r="A78" s="2" t="s">
        <v>213</v>
      </c>
      <c r="C78">
        <v>1</v>
      </c>
      <c r="D78">
        <v>1</v>
      </c>
    </row>
    <row r="79" spans="1:4" x14ac:dyDescent="0.3">
      <c r="A79" s="2" t="s">
        <v>216</v>
      </c>
      <c r="C79">
        <v>1</v>
      </c>
      <c r="D79">
        <v>1</v>
      </c>
    </row>
    <row r="80" spans="1:4" x14ac:dyDescent="0.3">
      <c r="A80" s="2" t="s">
        <v>219</v>
      </c>
      <c r="B80">
        <v>1</v>
      </c>
      <c r="D80">
        <v>1</v>
      </c>
    </row>
    <row r="81" spans="1:4" x14ac:dyDescent="0.3">
      <c r="A81" s="2" t="s">
        <v>222</v>
      </c>
      <c r="C81">
        <v>1</v>
      </c>
      <c r="D81">
        <v>1</v>
      </c>
    </row>
    <row r="82" spans="1:4" x14ac:dyDescent="0.3">
      <c r="A82" s="2" t="s">
        <v>225</v>
      </c>
      <c r="C82">
        <v>1</v>
      </c>
      <c r="D82">
        <v>1</v>
      </c>
    </row>
    <row r="83" spans="1:4" x14ac:dyDescent="0.3">
      <c r="A83" s="2" t="s">
        <v>228</v>
      </c>
      <c r="C83">
        <v>1</v>
      </c>
      <c r="D83">
        <v>1</v>
      </c>
    </row>
    <row r="84" spans="1:4" x14ac:dyDescent="0.3">
      <c r="A84" s="2" t="s">
        <v>231</v>
      </c>
      <c r="B84">
        <v>1</v>
      </c>
      <c r="D84">
        <v>1</v>
      </c>
    </row>
    <row r="85" spans="1:4" x14ac:dyDescent="0.3">
      <c r="A85" s="2" t="s">
        <v>234</v>
      </c>
      <c r="C85">
        <v>1</v>
      </c>
      <c r="D85">
        <v>1</v>
      </c>
    </row>
    <row r="86" spans="1:4" x14ac:dyDescent="0.3">
      <c r="A86" s="2" t="s">
        <v>237</v>
      </c>
      <c r="B86">
        <v>1</v>
      </c>
      <c r="D86">
        <v>1</v>
      </c>
    </row>
    <row r="87" spans="1:4" x14ac:dyDescent="0.3">
      <c r="A87" s="2" t="s">
        <v>240</v>
      </c>
      <c r="C87">
        <v>1</v>
      </c>
      <c r="D87">
        <v>1</v>
      </c>
    </row>
    <row r="88" spans="1:4" x14ac:dyDescent="0.3">
      <c r="A88" s="2" t="s">
        <v>243</v>
      </c>
      <c r="B88">
        <v>1</v>
      </c>
      <c r="D88">
        <v>1</v>
      </c>
    </row>
    <row r="89" spans="1:4" x14ac:dyDescent="0.3">
      <c r="A89" s="2" t="s">
        <v>246</v>
      </c>
      <c r="B89">
        <v>1</v>
      </c>
      <c r="D89">
        <v>1</v>
      </c>
    </row>
    <row r="90" spans="1:4" x14ac:dyDescent="0.3">
      <c r="A90" s="2" t="s">
        <v>249</v>
      </c>
      <c r="C90">
        <v>1</v>
      </c>
      <c r="D90">
        <v>1</v>
      </c>
    </row>
    <row r="91" spans="1:4" x14ac:dyDescent="0.3">
      <c r="A91" s="2" t="s">
        <v>252</v>
      </c>
      <c r="C91">
        <v>1</v>
      </c>
      <c r="D91">
        <v>1</v>
      </c>
    </row>
    <row r="92" spans="1:4" x14ac:dyDescent="0.3">
      <c r="A92" s="2" t="s">
        <v>255</v>
      </c>
      <c r="B92">
        <v>1</v>
      </c>
      <c r="D92">
        <v>1</v>
      </c>
    </row>
    <row r="93" spans="1:4" x14ac:dyDescent="0.3">
      <c r="A93" s="2" t="s">
        <v>258</v>
      </c>
      <c r="B93">
        <v>1</v>
      </c>
      <c r="D93">
        <v>1</v>
      </c>
    </row>
    <row r="94" spans="1:4" x14ac:dyDescent="0.3">
      <c r="A94" s="2" t="s">
        <v>261</v>
      </c>
      <c r="B94">
        <v>1</v>
      </c>
      <c r="D94">
        <v>1</v>
      </c>
    </row>
    <row r="95" spans="1:4" x14ac:dyDescent="0.3">
      <c r="A95" s="2" t="s">
        <v>264</v>
      </c>
      <c r="C95">
        <v>1</v>
      </c>
      <c r="D95">
        <v>1</v>
      </c>
    </row>
    <row r="96" spans="1:4" x14ac:dyDescent="0.3">
      <c r="A96" s="2" t="s">
        <v>267</v>
      </c>
      <c r="B96">
        <v>1</v>
      </c>
      <c r="D96">
        <v>1</v>
      </c>
    </row>
    <row r="97" spans="1:4" x14ac:dyDescent="0.3">
      <c r="A97" s="2" t="s">
        <v>270</v>
      </c>
      <c r="C97">
        <v>1</v>
      </c>
      <c r="D97">
        <v>1</v>
      </c>
    </row>
    <row r="98" spans="1:4" x14ac:dyDescent="0.3">
      <c r="A98" s="2" t="s">
        <v>273</v>
      </c>
      <c r="C98">
        <v>1</v>
      </c>
      <c r="D98">
        <v>1</v>
      </c>
    </row>
    <row r="99" spans="1:4" x14ac:dyDescent="0.3">
      <c r="A99" s="2" t="s">
        <v>276</v>
      </c>
      <c r="B99">
        <v>1</v>
      </c>
      <c r="D99">
        <v>1</v>
      </c>
    </row>
    <row r="100" spans="1:4" x14ac:dyDescent="0.3">
      <c r="A100" s="2" t="s">
        <v>279</v>
      </c>
      <c r="C100">
        <v>1</v>
      </c>
      <c r="D100">
        <v>1</v>
      </c>
    </row>
    <row r="101" spans="1:4" x14ac:dyDescent="0.3">
      <c r="A101" s="2" t="s">
        <v>282</v>
      </c>
      <c r="C101">
        <v>1</v>
      </c>
      <c r="D101">
        <v>1</v>
      </c>
    </row>
    <row r="102" spans="1:4" x14ac:dyDescent="0.3">
      <c r="A102" s="2" t="s">
        <v>285</v>
      </c>
      <c r="C102">
        <v>1</v>
      </c>
      <c r="D102">
        <v>1</v>
      </c>
    </row>
    <row r="103" spans="1:4" x14ac:dyDescent="0.3">
      <c r="A103" s="2" t="s">
        <v>288</v>
      </c>
      <c r="B103">
        <v>1</v>
      </c>
      <c r="D103">
        <v>1</v>
      </c>
    </row>
    <row r="104" spans="1:4" x14ac:dyDescent="0.3">
      <c r="A104" s="2" t="s">
        <v>291</v>
      </c>
      <c r="B104">
        <v>1</v>
      </c>
      <c r="D104">
        <v>1</v>
      </c>
    </row>
    <row r="105" spans="1:4" x14ac:dyDescent="0.3">
      <c r="A105" s="2" t="s">
        <v>294</v>
      </c>
      <c r="B105">
        <v>1</v>
      </c>
      <c r="D105">
        <v>1</v>
      </c>
    </row>
    <row r="106" spans="1:4" x14ac:dyDescent="0.3">
      <c r="A106" s="2" t="s">
        <v>297</v>
      </c>
      <c r="B106">
        <v>1</v>
      </c>
      <c r="D106">
        <v>1</v>
      </c>
    </row>
    <row r="107" spans="1:4" x14ac:dyDescent="0.3">
      <c r="A107" s="2" t="s">
        <v>300</v>
      </c>
      <c r="B107">
        <v>1</v>
      </c>
      <c r="D107">
        <v>1</v>
      </c>
    </row>
    <row r="108" spans="1:4" x14ac:dyDescent="0.3">
      <c r="A108" s="2" t="s">
        <v>303</v>
      </c>
      <c r="B108">
        <v>1</v>
      </c>
      <c r="D108">
        <v>1</v>
      </c>
    </row>
    <row r="109" spans="1:4" x14ac:dyDescent="0.3">
      <c r="A109" s="2" t="s">
        <v>306</v>
      </c>
      <c r="B109">
        <v>1</v>
      </c>
      <c r="D109">
        <v>1</v>
      </c>
    </row>
    <row r="110" spans="1:4" x14ac:dyDescent="0.3">
      <c r="A110" s="2" t="s">
        <v>309</v>
      </c>
      <c r="B110">
        <v>1</v>
      </c>
      <c r="D110">
        <v>1</v>
      </c>
    </row>
    <row r="111" spans="1:4" x14ac:dyDescent="0.3">
      <c r="A111" s="2" t="s">
        <v>312</v>
      </c>
      <c r="B111">
        <v>1</v>
      </c>
      <c r="D111">
        <v>1</v>
      </c>
    </row>
    <row r="112" spans="1:4" x14ac:dyDescent="0.3">
      <c r="A112" s="2" t="s">
        <v>315</v>
      </c>
      <c r="B112">
        <v>1</v>
      </c>
      <c r="D112">
        <v>1</v>
      </c>
    </row>
    <row r="113" spans="1:4" x14ac:dyDescent="0.3">
      <c r="A113" s="2" t="s">
        <v>318</v>
      </c>
      <c r="B113">
        <v>1</v>
      </c>
      <c r="D113">
        <v>1</v>
      </c>
    </row>
    <row r="114" spans="1:4" x14ac:dyDescent="0.3">
      <c r="A114" s="2" t="s">
        <v>321</v>
      </c>
      <c r="B114">
        <v>1</v>
      </c>
      <c r="D114">
        <v>1</v>
      </c>
    </row>
    <row r="115" spans="1:4" x14ac:dyDescent="0.3">
      <c r="A115" s="2" t="s">
        <v>324</v>
      </c>
      <c r="B115">
        <v>1</v>
      </c>
      <c r="D115">
        <v>1</v>
      </c>
    </row>
    <row r="116" spans="1:4" x14ac:dyDescent="0.3">
      <c r="A116" s="2" t="s">
        <v>327</v>
      </c>
      <c r="C116">
        <v>1</v>
      </c>
      <c r="D116">
        <v>1</v>
      </c>
    </row>
    <row r="117" spans="1:4" x14ac:dyDescent="0.3">
      <c r="A117" s="2" t="s">
        <v>330</v>
      </c>
      <c r="B117">
        <v>1</v>
      </c>
      <c r="D117">
        <v>1</v>
      </c>
    </row>
    <row r="118" spans="1:4" x14ac:dyDescent="0.3">
      <c r="A118" s="2" t="s">
        <v>333</v>
      </c>
      <c r="C118">
        <v>1</v>
      </c>
      <c r="D118">
        <v>1</v>
      </c>
    </row>
    <row r="119" spans="1:4" x14ac:dyDescent="0.3">
      <c r="A119" s="2" t="s">
        <v>336</v>
      </c>
      <c r="B119">
        <v>1</v>
      </c>
      <c r="D119">
        <v>1</v>
      </c>
    </row>
    <row r="120" spans="1:4" x14ac:dyDescent="0.3">
      <c r="A120" s="2" t="s">
        <v>339</v>
      </c>
      <c r="C120">
        <v>1</v>
      </c>
      <c r="D120">
        <v>1</v>
      </c>
    </row>
    <row r="121" spans="1:4" x14ac:dyDescent="0.3">
      <c r="A121" s="2" t="s">
        <v>342</v>
      </c>
      <c r="C121">
        <v>1</v>
      </c>
      <c r="D121">
        <v>1</v>
      </c>
    </row>
    <row r="122" spans="1:4" x14ac:dyDescent="0.3">
      <c r="A122" s="2" t="s">
        <v>345</v>
      </c>
      <c r="C122">
        <v>1</v>
      </c>
      <c r="D122">
        <v>1</v>
      </c>
    </row>
    <row r="123" spans="1:4" x14ac:dyDescent="0.3">
      <c r="A123" s="2" t="s">
        <v>348</v>
      </c>
      <c r="B123">
        <v>1</v>
      </c>
      <c r="D123">
        <v>1</v>
      </c>
    </row>
    <row r="124" spans="1:4" x14ac:dyDescent="0.3">
      <c r="A124" s="2" t="s">
        <v>351</v>
      </c>
      <c r="B124">
        <v>1</v>
      </c>
      <c r="D124">
        <v>1</v>
      </c>
    </row>
    <row r="125" spans="1:4" x14ac:dyDescent="0.3">
      <c r="A125" s="2" t="s">
        <v>354</v>
      </c>
      <c r="B125">
        <v>1</v>
      </c>
      <c r="D125">
        <v>1</v>
      </c>
    </row>
    <row r="126" spans="1:4" x14ac:dyDescent="0.3">
      <c r="A126" s="2" t="s">
        <v>360</v>
      </c>
      <c r="B126">
        <v>1</v>
      </c>
      <c r="D126">
        <v>1</v>
      </c>
    </row>
    <row r="127" spans="1:4" x14ac:dyDescent="0.3">
      <c r="A127" s="2" t="s">
        <v>357</v>
      </c>
      <c r="C127">
        <v>1</v>
      </c>
      <c r="D127">
        <v>1</v>
      </c>
    </row>
    <row r="128" spans="1:4" x14ac:dyDescent="0.3">
      <c r="A128" s="2" t="s">
        <v>363</v>
      </c>
      <c r="C128">
        <v>1</v>
      </c>
      <c r="D128">
        <v>1</v>
      </c>
    </row>
    <row r="129" spans="1:4" x14ac:dyDescent="0.3">
      <c r="A129" s="2" t="s">
        <v>366</v>
      </c>
      <c r="B129">
        <v>1</v>
      </c>
      <c r="D129">
        <v>1</v>
      </c>
    </row>
    <row r="130" spans="1:4" x14ac:dyDescent="0.3">
      <c r="A130" s="2" t="s">
        <v>369</v>
      </c>
      <c r="B130">
        <v>1</v>
      </c>
      <c r="D130">
        <v>1</v>
      </c>
    </row>
    <row r="131" spans="1:4" x14ac:dyDescent="0.3">
      <c r="A131" s="2" t="s">
        <v>372</v>
      </c>
      <c r="C131">
        <v>1</v>
      </c>
      <c r="D131">
        <v>1</v>
      </c>
    </row>
    <row r="132" spans="1:4" x14ac:dyDescent="0.3">
      <c r="A132" s="2" t="s">
        <v>375</v>
      </c>
      <c r="C132">
        <v>1</v>
      </c>
      <c r="D132">
        <v>1</v>
      </c>
    </row>
    <row r="133" spans="1:4" x14ac:dyDescent="0.3">
      <c r="A133" s="2" t="s">
        <v>378</v>
      </c>
      <c r="B133">
        <v>1</v>
      </c>
      <c r="D133">
        <v>1</v>
      </c>
    </row>
    <row r="134" spans="1:4" x14ac:dyDescent="0.3">
      <c r="A134" s="2" t="s">
        <v>381</v>
      </c>
      <c r="C134">
        <v>1</v>
      </c>
      <c r="D134">
        <v>1</v>
      </c>
    </row>
    <row r="135" spans="1:4" x14ac:dyDescent="0.3">
      <c r="A135" s="2" t="s">
        <v>384</v>
      </c>
      <c r="B135">
        <v>1</v>
      </c>
      <c r="D135">
        <v>1</v>
      </c>
    </row>
    <row r="136" spans="1:4" x14ac:dyDescent="0.3">
      <c r="A136" s="2" t="s">
        <v>387</v>
      </c>
      <c r="B136">
        <v>1</v>
      </c>
      <c r="D136">
        <v>1</v>
      </c>
    </row>
    <row r="137" spans="1:4" x14ac:dyDescent="0.3">
      <c r="A137" s="2" t="s">
        <v>390</v>
      </c>
      <c r="C137">
        <v>1</v>
      </c>
      <c r="D137">
        <v>1</v>
      </c>
    </row>
    <row r="138" spans="1:4" x14ac:dyDescent="0.3">
      <c r="A138" s="2" t="s">
        <v>393</v>
      </c>
      <c r="C138">
        <v>1</v>
      </c>
      <c r="D138">
        <v>1</v>
      </c>
    </row>
    <row r="139" spans="1:4" x14ac:dyDescent="0.3">
      <c r="A139" s="2" t="s">
        <v>396</v>
      </c>
      <c r="B139">
        <v>1</v>
      </c>
      <c r="D139">
        <v>1</v>
      </c>
    </row>
    <row r="140" spans="1:4" x14ac:dyDescent="0.3">
      <c r="A140" s="2" t="s">
        <v>399</v>
      </c>
      <c r="C140">
        <v>1</v>
      </c>
      <c r="D140">
        <v>1</v>
      </c>
    </row>
    <row r="141" spans="1:4" x14ac:dyDescent="0.3">
      <c r="A141" s="2" t="s">
        <v>402</v>
      </c>
      <c r="C141">
        <v>1</v>
      </c>
      <c r="D141">
        <v>1</v>
      </c>
    </row>
    <row r="142" spans="1:4" x14ac:dyDescent="0.3">
      <c r="A142" s="2" t="s">
        <v>405</v>
      </c>
      <c r="C142">
        <v>1</v>
      </c>
      <c r="D142">
        <v>1</v>
      </c>
    </row>
    <row r="143" spans="1:4" x14ac:dyDescent="0.3">
      <c r="A143" s="2" t="s">
        <v>408</v>
      </c>
      <c r="B143">
        <v>1</v>
      </c>
      <c r="D143">
        <v>1</v>
      </c>
    </row>
    <row r="144" spans="1:4" x14ac:dyDescent="0.3">
      <c r="A144" s="2" t="s">
        <v>410</v>
      </c>
      <c r="C144">
        <v>1</v>
      </c>
      <c r="D144">
        <v>1</v>
      </c>
    </row>
    <row r="145" spans="1:4" x14ac:dyDescent="0.3">
      <c r="A145" s="2" t="s">
        <v>412</v>
      </c>
      <c r="B145">
        <v>1</v>
      </c>
      <c r="D145">
        <v>1</v>
      </c>
    </row>
    <row r="146" spans="1:4" x14ac:dyDescent="0.3">
      <c r="A146" s="2" t="s">
        <v>415</v>
      </c>
      <c r="C146">
        <v>1</v>
      </c>
      <c r="D146">
        <v>1</v>
      </c>
    </row>
    <row r="147" spans="1:4" x14ac:dyDescent="0.3">
      <c r="A147" s="2" t="s">
        <v>418</v>
      </c>
      <c r="C147">
        <v>1</v>
      </c>
      <c r="D147">
        <v>1</v>
      </c>
    </row>
    <row r="148" spans="1:4" x14ac:dyDescent="0.3">
      <c r="A148" s="2" t="s">
        <v>421</v>
      </c>
      <c r="C148">
        <v>1</v>
      </c>
      <c r="D148">
        <v>1</v>
      </c>
    </row>
    <row r="149" spans="1:4" x14ac:dyDescent="0.3">
      <c r="A149" s="2" t="s">
        <v>424</v>
      </c>
      <c r="B149">
        <v>1</v>
      </c>
      <c r="D149">
        <v>1</v>
      </c>
    </row>
    <row r="150" spans="1:4" x14ac:dyDescent="0.3">
      <c r="A150" s="2" t="s">
        <v>427</v>
      </c>
      <c r="C150">
        <v>1</v>
      </c>
      <c r="D150">
        <v>1</v>
      </c>
    </row>
    <row r="151" spans="1:4" x14ac:dyDescent="0.3">
      <c r="A151" s="2" t="s">
        <v>429</v>
      </c>
      <c r="C151">
        <v>1</v>
      </c>
      <c r="D151">
        <v>1</v>
      </c>
    </row>
    <row r="152" spans="1:4" x14ac:dyDescent="0.3">
      <c r="A152" s="2" t="s">
        <v>431</v>
      </c>
      <c r="C152">
        <v>1</v>
      </c>
      <c r="D152">
        <v>1</v>
      </c>
    </row>
    <row r="153" spans="1:4" x14ac:dyDescent="0.3">
      <c r="A153" s="2" t="s">
        <v>434</v>
      </c>
      <c r="C153">
        <v>1</v>
      </c>
      <c r="D153">
        <v>1</v>
      </c>
    </row>
    <row r="154" spans="1:4" x14ac:dyDescent="0.3">
      <c r="A154" s="2" t="s">
        <v>437</v>
      </c>
      <c r="C154">
        <v>1</v>
      </c>
      <c r="D154">
        <v>1</v>
      </c>
    </row>
    <row r="155" spans="1:4" x14ac:dyDescent="0.3">
      <c r="A155" s="2" t="s">
        <v>440</v>
      </c>
      <c r="C155">
        <v>1</v>
      </c>
      <c r="D155">
        <v>1</v>
      </c>
    </row>
    <row r="156" spans="1:4" x14ac:dyDescent="0.3">
      <c r="A156" s="2" t="s">
        <v>443</v>
      </c>
      <c r="C156">
        <v>1</v>
      </c>
      <c r="D156">
        <v>1</v>
      </c>
    </row>
    <row r="157" spans="1:4" x14ac:dyDescent="0.3">
      <c r="A157" s="2" t="s">
        <v>446</v>
      </c>
      <c r="C157">
        <v>1</v>
      </c>
      <c r="D157">
        <v>1</v>
      </c>
    </row>
    <row r="158" spans="1:4" x14ac:dyDescent="0.3">
      <c r="A158" s="2" t="s">
        <v>449</v>
      </c>
      <c r="C158">
        <v>1</v>
      </c>
      <c r="D158">
        <v>1</v>
      </c>
    </row>
    <row r="159" spans="1:4" x14ac:dyDescent="0.3">
      <c r="A159" s="2" t="s">
        <v>452</v>
      </c>
      <c r="C159">
        <v>1</v>
      </c>
      <c r="D159">
        <v>1</v>
      </c>
    </row>
    <row r="160" spans="1:4" x14ac:dyDescent="0.3">
      <c r="A160" s="2" t="s">
        <v>455</v>
      </c>
      <c r="C160">
        <v>1</v>
      </c>
      <c r="D160">
        <v>1</v>
      </c>
    </row>
    <row r="161" spans="1:4" x14ac:dyDescent="0.3">
      <c r="A161" s="2" t="s">
        <v>458</v>
      </c>
      <c r="B161">
        <v>1</v>
      </c>
      <c r="D161">
        <v>1</v>
      </c>
    </row>
    <row r="162" spans="1:4" x14ac:dyDescent="0.3">
      <c r="A162" s="2" t="s">
        <v>461</v>
      </c>
      <c r="B162">
        <v>1</v>
      </c>
      <c r="D162">
        <v>1</v>
      </c>
    </row>
    <row r="163" spans="1:4" x14ac:dyDescent="0.3">
      <c r="A163" s="2" t="s">
        <v>464</v>
      </c>
      <c r="C163">
        <v>1</v>
      </c>
      <c r="D163">
        <v>1</v>
      </c>
    </row>
    <row r="164" spans="1:4" x14ac:dyDescent="0.3">
      <c r="A164" s="2" t="s">
        <v>467</v>
      </c>
      <c r="B164">
        <v>1</v>
      </c>
      <c r="D164">
        <v>1</v>
      </c>
    </row>
    <row r="165" spans="1:4" x14ac:dyDescent="0.3">
      <c r="A165" s="2" t="s">
        <v>470</v>
      </c>
      <c r="B165">
        <v>1</v>
      </c>
      <c r="D165">
        <v>1</v>
      </c>
    </row>
    <row r="166" spans="1:4" x14ac:dyDescent="0.3">
      <c r="A166" s="2" t="s">
        <v>473</v>
      </c>
      <c r="B166">
        <v>1</v>
      </c>
      <c r="D166">
        <v>1</v>
      </c>
    </row>
    <row r="167" spans="1:4" x14ac:dyDescent="0.3">
      <c r="A167" s="2" t="s">
        <v>476</v>
      </c>
      <c r="C167">
        <v>1</v>
      </c>
      <c r="D167">
        <v>1</v>
      </c>
    </row>
    <row r="168" spans="1:4" x14ac:dyDescent="0.3">
      <c r="A168" s="2" t="s">
        <v>479</v>
      </c>
      <c r="B168">
        <v>1</v>
      </c>
      <c r="D168">
        <v>1</v>
      </c>
    </row>
    <row r="169" spans="1:4" x14ac:dyDescent="0.3">
      <c r="A169" s="2" t="s">
        <v>482</v>
      </c>
      <c r="C169">
        <v>1</v>
      </c>
      <c r="D169">
        <v>1</v>
      </c>
    </row>
    <row r="170" spans="1:4" x14ac:dyDescent="0.3">
      <c r="A170" s="2" t="s">
        <v>485</v>
      </c>
      <c r="B170">
        <v>1</v>
      </c>
      <c r="D170">
        <v>1</v>
      </c>
    </row>
    <row r="171" spans="1:4" x14ac:dyDescent="0.3">
      <c r="A171" s="2" t="s">
        <v>488</v>
      </c>
      <c r="B171">
        <v>1</v>
      </c>
      <c r="D171">
        <v>1</v>
      </c>
    </row>
    <row r="172" spans="1:4" x14ac:dyDescent="0.3">
      <c r="A172" s="2" t="s">
        <v>491</v>
      </c>
      <c r="B172">
        <v>1</v>
      </c>
      <c r="D172">
        <v>1</v>
      </c>
    </row>
    <row r="173" spans="1:4" x14ac:dyDescent="0.3">
      <c r="A173" s="2" t="s">
        <v>494</v>
      </c>
      <c r="C173">
        <v>1</v>
      </c>
      <c r="D173">
        <v>1</v>
      </c>
    </row>
    <row r="174" spans="1:4" x14ac:dyDescent="0.3">
      <c r="A174" s="2" t="s">
        <v>497</v>
      </c>
      <c r="B174">
        <v>1</v>
      </c>
      <c r="D174">
        <v>1</v>
      </c>
    </row>
    <row r="175" spans="1:4" x14ac:dyDescent="0.3">
      <c r="A175" s="2" t="s">
        <v>500</v>
      </c>
      <c r="C175">
        <v>1</v>
      </c>
      <c r="D175">
        <v>1</v>
      </c>
    </row>
    <row r="176" spans="1:4" x14ac:dyDescent="0.3">
      <c r="A176" s="2" t="s">
        <v>503</v>
      </c>
      <c r="B176">
        <v>1</v>
      </c>
      <c r="D176">
        <v>1</v>
      </c>
    </row>
    <row r="177" spans="1:4" x14ac:dyDescent="0.3">
      <c r="A177" s="2" t="s">
        <v>506</v>
      </c>
      <c r="B177">
        <v>1</v>
      </c>
      <c r="D177">
        <v>1</v>
      </c>
    </row>
    <row r="178" spans="1:4" x14ac:dyDescent="0.3">
      <c r="A178" s="2" t="s">
        <v>509</v>
      </c>
      <c r="B178">
        <v>1</v>
      </c>
      <c r="D178">
        <v>1</v>
      </c>
    </row>
    <row r="179" spans="1:4" x14ac:dyDescent="0.3">
      <c r="A179" s="2" t="s">
        <v>512</v>
      </c>
      <c r="B179">
        <v>1</v>
      </c>
      <c r="D179">
        <v>1</v>
      </c>
    </row>
    <row r="180" spans="1:4" x14ac:dyDescent="0.3">
      <c r="A180" s="2" t="s">
        <v>515</v>
      </c>
      <c r="B180">
        <v>1</v>
      </c>
      <c r="D180">
        <v>1</v>
      </c>
    </row>
    <row r="181" spans="1:4" x14ac:dyDescent="0.3">
      <c r="A181" s="2" t="s">
        <v>518</v>
      </c>
      <c r="B181">
        <v>1</v>
      </c>
      <c r="D181">
        <v>1</v>
      </c>
    </row>
    <row r="182" spans="1:4" x14ac:dyDescent="0.3">
      <c r="A182" s="2" t="s">
        <v>521</v>
      </c>
      <c r="B182">
        <v>1</v>
      </c>
      <c r="D182">
        <v>1</v>
      </c>
    </row>
    <row r="183" spans="1:4" x14ac:dyDescent="0.3">
      <c r="A183" s="2" t="s">
        <v>524</v>
      </c>
      <c r="B183">
        <v>1</v>
      </c>
      <c r="D183">
        <v>1</v>
      </c>
    </row>
    <row r="184" spans="1:4" x14ac:dyDescent="0.3">
      <c r="A184" s="2" t="s">
        <v>527</v>
      </c>
      <c r="B184">
        <v>1</v>
      </c>
      <c r="D184">
        <v>1</v>
      </c>
    </row>
    <row r="185" spans="1:4" x14ac:dyDescent="0.3">
      <c r="A185" s="2" t="s">
        <v>530</v>
      </c>
      <c r="B185">
        <v>1</v>
      </c>
      <c r="D185">
        <v>1</v>
      </c>
    </row>
    <row r="186" spans="1:4" x14ac:dyDescent="0.3">
      <c r="A186" s="2" t="s">
        <v>533</v>
      </c>
      <c r="B186">
        <v>1</v>
      </c>
      <c r="D186">
        <v>1</v>
      </c>
    </row>
    <row r="187" spans="1:4" x14ac:dyDescent="0.3">
      <c r="A187" s="2" t="s">
        <v>536</v>
      </c>
      <c r="B187">
        <v>1</v>
      </c>
      <c r="D187">
        <v>1</v>
      </c>
    </row>
    <row r="188" spans="1:4" x14ac:dyDescent="0.3">
      <c r="A188" s="2" t="s">
        <v>539</v>
      </c>
      <c r="B188">
        <v>1</v>
      </c>
      <c r="D188">
        <v>1</v>
      </c>
    </row>
    <row r="189" spans="1:4" x14ac:dyDescent="0.3">
      <c r="A189" s="2" t="s">
        <v>542</v>
      </c>
      <c r="B189">
        <v>1</v>
      </c>
      <c r="D189">
        <v>1</v>
      </c>
    </row>
    <row r="190" spans="1:4" x14ac:dyDescent="0.3">
      <c r="A190" s="2" t="s">
        <v>545</v>
      </c>
      <c r="B190">
        <v>1</v>
      </c>
      <c r="D190">
        <v>1</v>
      </c>
    </row>
    <row r="191" spans="1:4" x14ac:dyDescent="0.3">
      <c r="A191" s="2" t="s">
        <v>548</v>
      </c>
      <c r="B191">
        <v>1</v>
      </c>
      <c r="D191">
        <v>1</v>
      </c>
    </row>
    <row r="192" spans="1:4" x14ac:dyDescent="0.3">
      <c r="A192" s="2" t="s">
        <v>551</v>
      </c>
      <c r="B192">
        <v>1</v>
      </c>
      <c r="D192">
        <v>1</v>
      </c>
    </row>
    <row r="193" spans="1:4" x14ac:dyDescent="0.3">
      <c r="A193" s="2" t="s">
        <v>554</v>
      </c>
      <c r="B193">
        <v>1</v>
      </c>
      <c r="D193">
        <v>1</v>
      </c>
    </row>
    <row r="194" spans="1:4" x14ac:dyDescent="0.3">
      <c r="A194" s="2" t="s">
        <v>557</v>
      </c>
      <c r="B194">
        <v>1</v>
      </c>
      <c r="D194">
        <v>1</v>
      </c>
    </row>
    <row r="195" spans="1:4" x14ac:dyDescent="0.3">
      <c r="A195" s="2" t="s">
        <v>560</v>
      </c>
      <c r="C195">
        <v>1</v>
      </c>
      <c r="D195">
        <v>1</v>
      </c>
    </row>
    <row r="196" spans="1:4" x14ac:dyDescent="0.3">
      <c r="A196" s="2" t="s">
        <v>563</v>
      </c>
      <c r="B196">
        <v>1</v>
      </c>
      <c r="D196">
        <v>1</v>
      </c>
    </row>
    <row r="197" spans="1:4" x14ac:dyDescent="0.3">
      <c r="A197" s="2" t="s">
        <v>566</v>
      </c>
      <c r="B197">
        <v>1</v>
      </c>
      <c r="D197">
        <v>1</v>
      </c>
    </row>
    <row r="198" spans="1:4" x14ac:dyDescent="0.3">
      <c r="A198" s="2" t="s">
        <v>569</v>
      </c>
      <c r="C198">
        <v>1</v>
      </c>
      <c r="D198">
        <v>1</v>
      </c>
    </row>
    <row r="199" spans="1:4" x14ac:dyDescent="0.3">
      <c r="A199" s="2" t="s">
        <v>599</v>
      </c>
      <c r="C199">
        <v>1</v>
      </c>
      <c r="D199">
        <v>1</v>
      </c>
    </row>
    <row r="200" spans="1:4" x14ac:dyDescent="0.3">
      <c r="A200" s="2" t="s">
        <v>572</v>
      </c>
      <c r="B200">
        <v>1</v>
      </c>
      <c r="D200">
        <v>1</v>
      </c>
    </row>
    <row r="201" spans="1:4" x14ac:dyDescent="0.3">
      <c r="A201" s="2" t="s">
        <v>575</v>
      </c>
      <c r="C201">
        <v>1</v>
      </c>
      <c r="D201">
        <v>1</v>
      </c>
    </row>
    <row r="202" spans="1:4" x14ac:dyDescent="0.3">
      <c r="A202" s="2" t="s">
        <v>578</v>
      </c>
      <c r="C202">
        <v>1</v>
      </c>
      <c r="D202">
        <v>1</v>
      </c>
    </row>
    <row r="203" spans="1:4" x14ac:dyDescent="0.3">
      <c r="A203" s="2" t="s">
        <v>581</v>
      </c>
      <c r="B203">
        <v>1</v>
      </c>
      <c r="D203">
        <v>1</v>
      </c>
    </row>
    <row r="204" spans="1:4" x14ac:dyDescent="0.3">
      <c r="A204" s="2" t="s">
        <v>584</v>
      </c>
      <c r="C204">
        <v>1</v>
      </c>
      <c r="D204">
        <v>1</v>
      </c>
    </row>
    <row r="205" spans="1:4" x14ac:dyDescent="0.3">
      <c r="A205" s="2" t="s">
        <v>587</v>
      </c>
      <c r="C205">
        <v>1</v>
      </c>
      <c r="D205">
        <v>1</v>
      </c>
    </row>
    <row r="206" spans="1:4" x14ac:dyDescent="0.3">
      <c r="A206" s="2" t="s">
        <v>590</v>
      </c>
      <c r="B206">
        <v>1</v>
      </c>
      <c r="D206">
        <v>1</v>
      </c>
    </row>
    <row r="207" spans="1:4" x14ac:dyDescent="0.3">
      <c r="A207" s="2" t="s">
        <v>593</v>
      </c>
      <c r="B207">
        <v>1</v>
      </c>
      <c r="D207">
        <v>1</v>
      </c>
    </row>
    <row r="208" spans="1:4" x14ac:dyDescent="0.3">
      <c r="A208" s="2" t="s">
        <v>596</v>
      </c>
      <c r="B208">
        <v>1</v>
      </c>
      <c r="D208">
        <v>1</v>
      </c>
    </row>
    <row r="209" spans="1:4" x14ac:dyDescent="0.3">
      <c r="A209" s="2" t="s">
        <v>602</v>
      </c>
      <c r="B209">
        <v>1</v>
      </c>
      <c r="D209">
        <v>1</v>
      </c>
    </row>
    <row r="210" spans="1:4" x14ac:dyDescent="0.3">
      <c r="A210" s="2" t="s">
        <v>605</v>
      </c>
      <c r="B210">
        <v>1</v>
      </c>
      <c r="D210">
        <v>1</v>
      </c>
    </row>
    <row r="211" spans="1:4" x14ac:dyDescent="0.3">
      <c r="A211" s="2" t="s">
        <v>608</v>
      </c>
      <c r="B211">
        <v>1</v>
      </c>
      <c r="D211">
        <v>1</v>
      </c>
    </row>
    <row r="212" spans="1:4" x14ac:dyDescent="0.3">
      <c r="A212" s="2" t="s">
        <v>611</v>
      </c>
      <c r="B212">
        <v>1</v>
      </c>
      <c r="D212">
        <v>1</v>
      </c>
    </row>
    <row r="213" spans="1:4" x14ac:dyDescent="0.3">
      <c r="A213" s="2" t="s">
        <v>614</v>
      </c>
      <c r="B213">
        <v>1</v>
      </c>
      <c r="D213">
        <v>1</v>
      </c>
    </row>
    <row r="214" spans="1:4" x14ac:dyDescent="0.3">
      <c r="A214" s="2" t="s">
        <v>617</v>
      </c>
      <c r="B214">
        <v>1</v>
      </c>
      <c r="D214">
        <v>1</v>
      </c>
    </row>
    <row r="215" spans="1:4" x14ac:dyDescent="0.3">
      <c r="A215" s="2" t="s">
        <v>620</v>
      </c>
      <c r="B215">
        <v>1</v>
      </c>
      <c r="D215">
        <v>1</v>
      </c>
    </row>
    <row r="216" spans="1:4" x14ac:dyDescent="0.3">
      <c r="A216" s="2" t="s">
        <v>623</v>
      </c>
      <c r="B216">
        <v>1</v>
      </c>
      <c r="D216">
        <v>1</v>
      </c>
    </row>
    <row r="217" spans="1:4" x14ac:dyDescent="0.3">
      <c r="A217" s="2" t="s">
        <v>626</v>
      </c>
      <c r="B217">
        <v>1</v>
      </c>
      <c r="D217">
        <v>1</v>
      </c>
    </row>
    <row r="218" spans="1:4" x14ac:dyDescent="0.3">
      <c r="A218" s="2" t="s">
        <v>629</v>
      </c>
      <c r="B218">
        <v>1</v>
      </c>
      <c r="D218">
        <v>1</v>
      </c>
    </row>
    <row r="219" spans="1:4" x14ac:dyDescent="0.3">
      <c r="A219" s="2" t="s">
        <v>632</v>
      </c>
      <c r="B219">
        <v>1</v>
      </c>
      <c r="D219">
        <v>1</v>
      </c>
    </row>
    <row r="220" spans="1:4" x14ac:dyDescent="0.3">
      <c r="A220" s="2" t="s">
        <v>635</v>
      </c>
      <c r="B220">
        <v>1</v>
      </c>
      <c r="D220">
        <v>1</v>
      </c>
    </row>
    <row r="221" spans="1:4" x14ac:dyDescent="0.3">
      <c r="A221" s="2" t="s">
        <v>638</v>
      </c>
      <c r="C221">
        <v>1</v>
      </c>
      <c r="D221">
        <v>1</v>
      </c>
    </row>
    <row r="222" spans="1:4" x14ac:dyDescent="0.3">
      <c r="A222" s="2" t="s">
        <v>641</v>
      </c>
      <c r="C222">
        <v>1</v>
      </c>
      <c r="D222">
        <v>1</v>
      </c>
    </row>
    <row r="223" spans="1:4" x14ac:dyDescent="0.3">
      <c r="A223" s="2" t="s">
        <v>644</v>
      </c>
      <c r="C223">
        <v>1</v>
      </c>
      <c r="D223">
        <v>1</v>
      </c>
    </row>
    <row r="224" spans="1:4" x14ac:dyDescent="0.3">
      <c r="A224" s="2" t="s">
        <v>647</v>
      </c>
      <c r="B224">
        <v>1</v>
      </c>
      <c r="D224">
        <v>1</v>
      </c>
    </row>
    <row r="225" spans="1:4" x14ac:dyDescent="0.3">
      <c r="A225" s="2" t="s">
        <v>650</v>
      </c>
      <c r="B225">
        <v>1</v>
      </c>
      <c r="D225">
        <v>1</v>
      </c>
    </row>
    <row r="226" spans="1:4" x14ac:dyDescent="0.3">
      <c r="A226" s="2" t="s">
        <v>653</v>
      </c>
      <c r="C226">
        <v>1</v>
      </c>
      <c r="D226">
        <v>1</v>
      </c>
    </row>
    <row r="227" spans="1:4" x14ac:dyDescent="0.3">
      <c r="A227" s="2" t="s">
        <v>656</v>
      </c>
      <c r="C227">
        <v>1</v>
      </c>
      <c r="D227">
        <v>1</v>
      </c>
    </row>
    <row r="228" spans="1:4" x14ac:dyDescent="0.3">
      <c r="A228" s="2" t="s">
        <v>659</v>
      </c>
      <c r="B228">
        <v>1</v>
      </c>
      <c r="D228">
        <v>1</v>
      </c>
    </row>
    <row r="229" spans="1:4" x14ac:dyDescent="0.3">
      <c r="A229" s="2" t="s">
        <v>662</v>
      </c>
      <c r="C229">
        <v>1</v>
      </c>
      <c r="D229">
        <v>1</v>
      </c>
    </row>
    <row r="230" spans="1:4" x14ac:dyDescent="0.3">
      <c r="A230" s="2" t="s">
        <v>665</v>
      </c>
      <c r="B230">
        <v>1</v>
      </c>
      <c r="D230">
        <v>1</v>
      </c>
    </row>
    <row r="231" spans="1:4" x14ac:dyDescent="0.3">
      <c r="A231" s="2" t="s">
        <v>668</v>
      </c>
      <c r="C231">
        <v>1</v>
      </c>
      <c r="D231">
        <v>1</v>
      </c>
    </row>
    <row r="232" spans="1:4" x14ac:dyDescent="0.3">
      <c r="A232" s="2" t="s">
        <v>671</v>
      </c>
      <c r="C232">
        <v>1</v>
      </c>
      <c r="D232">
        <v>1</v>
      </c>
    </row>
    <row r="233" spans="1:4" x14ac:dyDescent="0.3">
      <c r="A233" s="2" t="s">
        <v>674</v>
      </c>
      <c r="B233">
        <v>1</v>
      </c>
      <c r="D233">
        <v>1</v>
      </c>
    </row>
    <row r="234" spans="1:4" x14ac:dyDescent="0.3">
      <c r="A234" s="2" t="s">
        <v>677</v>
      </c>
      <c r="C234">
        <v>1</v>
      </c>
      <c r="D234">
        <v>1</v>
      </c>
    </row>
    <row r="235" spans="1:4" x14ac:dyDescent="0.3">
      <c r="A235" s="2" t="s">
        <v>680</v>
      </c>
      <c r="C235">
        <v>1</v>
      </c>
      <c r="D235">
        <v>1</v>
      </c>
    </row>
    <row r="236" spans="1:4" x14ac:dyDescent="0.3">
      <c r="A236" s="2" t="s">
        <v>683</v>
      </c>
      <c r="C236">
        <v>1</v>
      </c>
      <c r="D236">
        <v>1</v>
      </c>
    </row>
    <row r="237" spans="1:4" x14ac:dyDescent="0.3">
      <c r="A237" s="2" t="s">
        <v>686</v>
      </c>
      <c r="B237">
        <v>1</v>
      </c>
      <c r="D237">
        <v>1</v>
      </c>
    </row>
    <row r="238" spans="1:4" x14ac:dyDescent="0.3">
      <c r="A238" s="2" t="s">
        <v>689</v>
      </c>
      <c r="C238">
        <v>1</v>
      </c>
      <c r="D238">
        <v>1</v>
      </c>
    </row>
    <row r="239" spans="1:4" x14ac:dyDescent="0.3">
      <c r="A239" s="2" t="s">
        <v>692</v>
      </c>
      <c r="C239">
        <v>1</v>
      </c>
      <c r="D239">
        <v>1</v>
      </c>
    </row>
    <row r="240" spans="1:4" x14ac:dyDescent="0.3">
      <c r="A240" s="2" t="s">
        <v>695</v>
      </c>
      <c r="C240">
        <v>1</v>
      </c>
      <c r="D240">
        <v>1</v>
      </c>
    </row>
    <row r="241" spans="1:4" x14ac:dyDescent="0.3">
      <c r="A241" s="2" t="s">
        <v>698</v>
      </c>
      <c r="C241">
        <v>1</v>
      </c>
      <c r="D241">
        <v>1</v>
      </c>
    </row>
    <row r="242" spans="1:4" x14ac:dyDescent="0.3">
      <c r="A242" s="2" t="s">
        <v>701</v>
      </c>
      <c r="B242">
        <v>1</v>
      </c>
      <c r="D242">
        <v>1</v>
      </c>
    </row>
    <row r="243" spans="1:4" x14ac:dyDescent="0.3">
      <c r="A243" s="2" t="s">
        <v>704</v>
      </c>
      <c r="B243">
        <v>1</v>
      </c>
      <c r="D243">
        <v>1</v>
      </c>
    </row>
    <row r="244" spans="1:4" x14ac:dyDescent="0.3">
      <c r="A244" s="2" t="s">
        <v>707</v>
      </c>
      <c r="B244">
        <v>1</v>
      </c>
      <c r="D244">
        <v>1</v>
      </c>
    </row>
    <row r="245" spans="1:4" x14ac:dyDescent="0.3">
      <c r="A245" s="2" t="s">
        <v>710</v>
      </c>
      <c r="C245">
        <v>1</v>
      </c>
      <c r="D245">
        <v>1</v>
      </c>
    </row>
    <row r="246" spans="1:4" x14ac:dyDescent="0.3">
      <c r="A246" s="2" t="s">
        <v>713</v>
      </c>
      <c r="B246">
        <v>1</v>
      </c>
      <c r="D246">
        <v>1</v>
      </c>
    </row>
    <row r="247" spans="1:4" x14ac:dyDescent="0.3">
      <c r="A247" s="2" t="s">
        <v>716</v>
      </c>
      <c r="B247">
        <v>1</v>
      </c>
      <c r="D247">
        <v>1</v>
      </c>
    </row>
    <row r="248" spans="1:4" x14ac:dyDescent="0.3">
      <c r="A248" s="2" t="s">
        <v>719</v>
      </c>
      <c r="B248">
        <v>1</v>
      </c>
      <c r="D248">
        <v>1</v>
      </c>
    </row>
    <row r="249" spans="1:4" x14ac:dyDescent="0.3">
      <c r="A249" s="2" t="s">
        <v>722</v>
      </c>
      <c r="C249">
        <v>1</v>
      </c>
      <c r="D249">
        <v>1</v>
      </c>
    </row>
    <row r="250" spans="1:4" x14ac:dyDescent="0.3">
      <c r="A250" s="2" t="s">
        <v>725</v>
      </c>
      <c r="C250">
        <v>1</v>
      </c>
      <c r="D250">
        <v>1</v>
      </c>
    </row>
    <row r="251" spans="1:4" x14ac:dyDescent="0.3">
      <c r="A251" s="2" t="s">
        <v>728</v>
      </c>
      <c r="C251">
        <v>1</v>
      </c>
      <c r="D251">
        <v>1</v>
      </c>
    </row>
    <row r="252" spans="1:4" x14ac:dyDescent="0.3">
      <c r="A252" s="2" t="s">
        <v>731</v>
      </c>
      <c r="B252">
        <v>1</v>
      </c>
      <c r="D252">
        <v>1</v>
      </c>
    </row>
    <row r="253" spans="1:4" x14ac:dyDescent="0.3">
      <c r="A253" s="2" t="s">
        <v>734</v>
      </c>
      <c r="B253">
        <v>1</v>
      </c>
      <c r="D253">
        <v>1</v>
      </c>
    </row>
    <row r="254" spans="1:4" x14ac:dyDescent="0.3">
      <c r="A254" s="2" t="s">
        <v>737</v>
      </c>
      <c r="C254">
        <v>1</v>
      </c>
      <c r="D254">
        <v>1</v>
      </c>
    </row>
    <row r="255" spans="1:4" x14ac:dyDescent="0.3">
      <c r="A255" s="2" t="s">
        <v>740</v>
      </c>
      <c r="B255">
        <v>1</v>
      </c>
      <c r="D255">
        <v>1</v>
      </c>
    </row>
    <row r="256" spans="1:4" x14ac:dyDescent="0.3">
      <c r="A256" s="2" t="s">
        <v>743</v>
      </c>
      <c r="C256">
        <v>1</v>
      </c>
      <c r="D256">
        <v>1</v>
      </c>
    </row>
    <row r="257" spans="1:4" x14ac:dyDescent="0.3">
      <c r="A257" s="2" t="s">
        <v>746</v>
      </c>
      <c r="B257">
        <v>1</v>
      </c>
      <c r="D257">
        <v>1</v>
      </c>
    </row>
    <row r="258" spans="1:4" x14ac:dyDescent="0.3">
      <c r="A258" s="2" t="s">
        <v>749</v>
      </c>
      <c r="C258">
        <v>1</v>
      </c>
      <c r="D258">
        <v>1</v>
      </c>
    </row>
    <row r="259" spans="1:4" x14ac:dyDescent="0.3">
      <c r="A259" s="2" t="s">
        <v>752</v>
      </c>
      <c r="C259">
        <v>1</v>
      </c>
      <c r="D259">
        <v>1</v>
      </c>
    </row>
    <row r="260" spans="1:4" x14ac:dyDescent="0.3">
      <c r="A260" s="2" t="s">
        <v>755</v>
      </c>
      <c r="C260">
        <v>1</v>
      </c>
      <c r="D260">
        <v>1</v>
      </c>
    </row>
    <row r="261" spans="1:4" x14ac:dyDescent="0.3">
      <c r="A261" s="2" t="s">
        <v>758</v>
      </c>
      <c r="C261">
        <v>1</v>
      </c>
      <c r="D261">
        <v>1</v>
      </c>
    </row>
    <row r="262" spans="1:4" x14ac:dyDescent="0.3">
      <c r="A262" s="2" t="s">
        <v>761</v>
      </c>
      <c r="C262">
        <v>1</v>
      </c>
      <c r="D262">
        <v>1</v>
      </c>
    </row>
    <row r="263" spans="1:4" x14ac:dyDescent="0.3">
      <c r="A263" s="2" t="s">
        <v>764</v>
      </c>
      <c r="B263">
        <v>1</v>
      </c>
      <c r="D263">
        <v>1</v>
      </c>
    </row>
    <row r="264" spans="1:4" x14ac:dyDescent="0.3">
      <c r="A264" s="2" t="s">
        <v>767</v>
      </c>
      <c r="B264">
        <v>1</v>
      </c>
      <c r="D264">
        <v>1</v>
      </c>
    </row>
    <row r="265" spans="1:4" x14ac:dyDescent="0.3">
      <c r="A265" s="2" t="s">
        <v>770</v>
      </c>
      <c r="C265">
        <v>1</v>
      </c>
      <c r="D265">
        <v>1</v>
      </c>
    </row>
    <row r="266" spans="1:4" x14ac:dyDescent="0.3">
      <c r="A266" s="2" t="s">
        <v>773</v>
      </c>
      <c r="B266">
        <v>1</v>
      </c>
      <c r="D266">
        <v>1</v>
      </c>
    </row>
    <row r="267" spans="1:4" x14ac:dyDescent="0.3">
      <c r="A267" s="2" t="s">
        <v>776</v>
      </c>
      <c r="C267">
        <v>1</v>
      </c>
      <c r="D267">
        <v>1</v>
      </c>
    </row>
    <row r="268" spans="1:4" x14ac:dyDescent="0.3">
      <c r="A268" s="2" t="s">
        <v>779</v>
      </c>
      <c r="B268">
        <v>1</v>
      </c>
      <c r="D268">
        <v>1</v>
      </c>
    </row>
    <row r="269" spans="1:4" x14ac:dyDescent="0.3">
      <c r="A269" s="2" t="s">
        <v>782</v>
      </c>
      <c r="C269">
        <v>1</v>
      </c>
      <c r="D269">
        <v>1</v>
      </c>
    </row>
    <row r="270" spans="1:4" x14ac:dyDescent="0.3">
      <c r="A270" s="2" t="s">
        <v>785</v>
      </c>
      <c r="C270">
        <v>1</v>
      </c>
      <c r="D270">
        <v>1</v>
      </c>
    </row>
    <row r="271" spans="1:4" x14ac:dyDescent="0.3">
      <c r="A271" s="2" t="s">
        <v>788</v>
      </c>
      <c r="C271">
        <v>1</v>
      </c>
      <c r="D271">
        <v>1</v>
      </c>
    </row>
    <row r="272" spans="1:4" x14ac:dyDescent="0.3">
      <c r="A272" s="2" t="s">
        <v>791</v>
      </c>
      <c r="C272">
        <v>1</v>
      </c>
      <c r="D272">
        <v>1</v>
      </c>
    </row>
    <row r="273" spans="1:4" x14ac:dyDescent="0.3">
      <c r="A273" s="2" t="s">
        <v>794</v>
      </c>
      <c r="B273">
        <v>1</v>
      </c>
      <c r="D273">
        <v>1</v>
      </c>
    </row>
    <row r="274" spans="1:4" x14ac:dyDescent="0.3">
      <c r="A274" s="2" t="s">
        <v>797</v>
      </c>
      <c r="C274">
        <v>1</v>
      </c>
      <c r="D274">
        <v>1</v>
      </c>
    </row>
    <row r="275" spans="1:4" x14ac:dyDescent="0.3">
      <c r="A275" s="2" t="s">
        <v>800</v>
      </c>
      <c r="C275">
        <v>1</v>
      </c>
      <c r="D275">
        <v>1</v>
      </c>
    </row>
    <row r="276" spans="1:4" x14ac:dyDescent="0.3">
      <c r="A276" s="2" t="s">
        <v>802</v>
      </c>
      <c r="B276">
        <v>1</v>
      </c>
      <c r="D276">
        <v>1</v>
      </c>
    </row>
    <row r="277" spans="1:4" x14ac:dyDescent="0.3">
      <c r="A277" s="2" t="s">
        <v>804</v>
      </c>
      <c r="B277">
        <v>1</v>
      </c>
      <c r="D277">
        <v>1</v>
      </c>
    </row>
    <row r="278" spans="1:4" x14ac:dyDescent="0.3">
      <c r="A278" s="2" t="s">
        <v>807</v>
      </c>
      <c r="B278">
        <v>1</v>
      </c>
      <c r="D278">
        <v>1</v>
      </c>
    </row>
    <row r="279" spans="1:4" x14ac:dyDescent="0.3">
      <c r="A279" s="2" t="s">
        <v>810</v>
      </c>
      <c r="C279">
        <v>1</v>
      </c>
      <c r="D279">
        <v>1</v>
      </c>
    </row>
    <row r="280" spans="1:4" x14ac:dyDescent="0.3">
      <c r="A280" s="2" t="s">
        <v>813</v>
      </c>
      <c r="C280">
        <v>1</v>
      </c>
      <c r="D280">
        <v>1</v>
      </c>
    </row>
    <row r="281" spans="1:4" x14ac:dyDescent="0.3">
      <c r="A281" s="2" t="s">
        <v>816</v>
      </c>
      <c r="C281">
        <v>1</v>
      </c>
      <c r="D281">
        <v>1</v>
      </c>
    </row>
    <row r="282" spans="1:4" x14ac:dyDescent="0.3">
      <c r="A282" s="2" t="s">
        <v>819</v>
      </c>
      <c r="C282">
        <v>1</v>
      </c>
      <c r="D282">
        <v>1</v>
      </c>
    </row>
    <row r="283" spans="1:4" x14ac:dyDescent="0.3">
      <c r="A283" s="2" t="s">
        <v>822</v>
      </c>
      <c r="C283">
        <v>1</v>
      </c>
      <c r="D283">
        <v>1</v>
      </c>
    </row>
    <row r="284" spans="1:4" x14ac:dyDescent="0.3">
      <c r="A284" s="2" t="s">
        <v>825</v>
      </c>
      <c r="C284">
        <v>1</v>
      </c>
      <c r="D284">
        <v>1</v>
      </c>
    </row>
    <row r="285" spans="1:4" x14ac:dyDescent="0.3">
      <c r="A285" s="2" t="s">
        <v>828</v>
      </c>
      <c r="B285">
        <v>1</v>
      </c>
      <c r="D285">
        <v>1</v>
      </c>
    </row>
    <row r="286" spans="1:4" x14ac:dyDescent="0.3">
      <c r="A286" s="2" t="s">
        <v>831</v>
      </c>
      <c r="C286">
        <v>1</v>
      </c>
      <c r="D286">
        <v>1</v>
      </c>
    </row>
    <row r="287" spans="1:4" x14ac:dyDescent="0.3">
      <c r="A287" s="2" t="s">
        <v>834</v>
      </c>
      <c r="B287">
        <v>1</v>
      </c>
      <c r="D287">
        <v>1</v>
      </c>
    </row>
    <row r="288" spans="1:4" x14ac:dyDescent="0.3">
      <c r="A288" s="2" t="s">
        <v>837</v>
      </c>
      <c r="C288">
        <v>1</v>
      </c>
      <c r="D288">
        <v>1</v>
      </c>
    </row>
    <row r="289" spans="1:4" x14ac:dyDescent="0.3">
      <c r="A289" s="2" t="s">
        <v>840</v>
      </c>
      <c r="B289">
        <v>1</v>
      </c>
      <c r="D289">
        <v>1</v>
      </c>
    </row>
    <row r="290" spans="1:4" x14ac:dyDescent="0.3">
      <c r="A290" s="2" t="s">
        <v>843</v>
      </c>
      <c r="B290">
        <v>1</v>
      </c>
      <c r="D290">
        <v>1</v>
      </c>
    </row>
    <row r="291" spans="1:4" x14ac:dyDescent="0.3">
      <c r="A291" s="2" t="s">
        <v>846</v>
      </c>
      <c r="B291">
        <v>1</v>
      </c>
      <c r="D291">
        <v>1</v>
      </c>
    </row>
    <row r="292" spans="1:4" x14ac:dyDescent="0.3">
      <c r="A292" s="2" t="s">
        <v>849</v>
      </c>
      <c r="B292">
        <v>1</v>
      </c>
      <c r="D292">
        <v>1</v>
      </c>
    </row>
    <row r="293" spans="1:4" x14ac:dyDescent="0.3">
      <c r="A293" s="2" t="s">
        <v>852</v>
      </c>
      <c r="B293">
        <v>1</v>
      </c>
      <c r="D293">
        <v>1</v>
      </c>
    </row>
    <row r="294" spans="1:4" x14ac:dyDescent="0.3">
      <c r="A294" s="2" t="s">
        <v>855</v>
      </c>
      <c r="B294">
        <v>1</v>
      </c>
      <c r="D294">
        <v>1</v>
      </c>
    </row>
    <row r="295" spans="1:4" x14ac:dyDescent="0.3">
      <c r="A295" s="2" t="s">
        <v>858</v>
      </c>
      <c r="B295">
        <v>1</v>
      </c>
      <c r="D295">
        <v>1</v>
      </c>
    </row>
    <row r="296" spans="1:4" x14ac:dyDescent="0.3">
      <c r="A296" s="2" t="s">
        <v>861</v>
      </c>
      <c r="B296">
        <v>1</v>
      </c>
      <c r="D296">
        <v>1</v>
      </c>
    </row>
    <row r="297" spans="1:4" x14ac:dyDescent="0.3">
      <c r="A297" s="2" t="s">
        <v>864</v>
      </c>
      <c r="B297">
        <v>1</v>
      </c>
      <c r="D297">
        <v>1</v>
      </c>
    </row>
    <row r="298" spans="1:4" x14ac:dyDescent="0.3">
      <c r="A298" s="2" t="s">
        <v>867</v>
      </c>
      <c r="B298">
        <v>1</v>
      </c>
      <c r="D298">
        <v>1</v>
      </c>
    </row>
    <row r="299" spans="1:4" x14ac:dyDescent="0.3">
      <c r="A299" s="2" t="s">
        <v>870</v>
      </c>
      <c r="B299">
        <v>1</v>
      </c>
      <c r="D299">
        <v>1</v>
      </c>
    </row>
    <row r="300" spans="1:4" x14ac:dyDescent="0.3">
      <c r="A300" s="2" t="s">
        <v>873</v>
      </c>
      <c r="B300">
        <v>1</v>
      </c>
      <c r="D300">
        <v>1</v>
      </c>
    </row>
    <row r="301" spans="1:4" x14ac:dyDescent="0.3">
      <c r="A301" s="2" t="s">
        <v>876</v>
      </c>
      <c r="B301">
        <v>1</v>
      </c>
      <c r="D301">
        <v>1</v>
      </c>
    </row>
    <row r="302" spans="1:4" x14ac:dyDescent="0.3">
      <c r="A302" s="2" t="s">
        <v>879</v>
      </c>
      <c r="B302">
        <v>1</v>
      </c>
      <c r="D302">
        <v>1</v>
      </c>
    </row>
    <row r="303" spans="1:4" x14ac:dyDescent="0.3">
      <c r="A303" s="2" t="s">
        <v>882</v>
      </c>
      <c r="B303">
        <v>1</v>
      </c>
      <c r="D303">
        <v>1</v>
      </c>
    </row>
    <row r="304" spans="1:4" x14ac:dyDescent="0.3">
      <c r="A304" s="2" t="s">
        <v>885</v>
      </c>
      <c r="C304">
        <v>1</v>
      </c>
      <c r="D304">
        <v>1</v>
      </c>
    </row>
    <row r="305" spans="1:4" x14ac:dyDescent="0.3">
      <c r="A305" s="2" t="s">
        <v>888</v>
      </c>
      <c r="B305">
        <v>1</v>
      </c>
      <c r="D305">
        <v>1</v>
      </c>
    </row>
    <row r="306" spans="1:4" x14ac:dyDescent="0.3">
      <c r="A306" s="2" t="s">
        <v>891</v>
      </c>
      <c r="B306">
        <v>1</v>
      </c>
      <c r="D306">
        <v>1</v>
      </c>
    </row>
    <row r="307" spans="1:4" x14ac:dyDescent="0.3">
      <c r="A307" s="2" t="s">
        <v>894</v>
      </c>
      <c r="B307">
        <v>1</v>
      </c>
      <c r="D307">
        <v>1</v>
      </c>
    </row>
    <row r="308" spans="1:4" x14ac:dyDescent="0.3">
      <c r="A308" s="2" t="s">
        <v>897</v>
      </c>
      <c r="B308">
        <v>1</v>
      </c>
      <c r="D308">
        <v>1</v>
      </c>
    </row>
    <row r="309" spans="1:4" x14ac:dyDescent="0.3">
      <c r="A309" s="2" t="s">
        <v>900</v>
      </c>
      <c r="B309">
        <v>1</v>
      </c>
      <c r="D309">
        <v>1</v>
      </c>
    </row>
    <row r="310" spans="1:4" x14ac:dyDescent="0.3">
      <c r="A310" s="2" t="s">
        <v>903</v>
      </c>
      <c r="C310">
        <v>1</v>
      </c>
      <c r="D310">
        <v>1</v>
      </c>
    </row>
    <row r="311" spans="1:4" x14ac:dyDescent="0.3">
      <c r="A311" s="2" t="s">
        <v>906</v>
      </c>
      <c r="B311">
        <v>1</v>
      </c>
      <c r="D311">
        <v>1</v>
      </c>
    </row>
    <row r="312" spans="1:4" x14ac:dyDescent="0.3">
      <c r="A312" s="2" t="s">
        <v>909</v>
      </c>
      <c r="B312">
        <v>1</v>
      </c>
      <c r="D312">
        <v>1</v>
      </c>
    </row>
    <row r="313" spans="1:4" x14ac:dyDescent="0.3">
      <c r="A313" s="2" t="s">
        <v>912</v>
      </c>
      <c r="B313">
        <v>1</v>
      </c>
      <c r="D313">
        <v>1</v>
      </c>
    </row>
    <row r="314" spans="1:4" x14ac:dyDescent="0.3">
      <c r="A314" s="2" t="s">
        <v>915</v>
      </c>
      <c r="B314">
        <v>1</v>
      </c>
      <c r="D314">
        <v>1</v>
      </c>
    </row>
    <row r="315" spans="1:4" x14ac:dyDescent="0.3">
      <c r="A315" s="2" t="s">
        <v>918</v>
      </c>
      <c r="B315">
        <v>1</v>
      </c>
      <c r="D315">
        <v>1</v>
      </c>
    </row>
    <row r="316" spans="1:4" x14ac:dyDescent="0.3">
      <c r="A316" s="2" t="s">
        <v>921</v>
      </c>
      <c r="B316">
        <v>1</v>
      </c>
      <c r="D316">
        <v>1</v>
      </c>
    </row>
    <row r="317" spans="1:4" x14ac:dyDescent="0.3">
      <c r="A317" s="2" t="s">
        <v>924</v>
      </c>
      <c r="B317">
        <v>1</v>
      </c>
      <c r="D317">
        <v>1</v>
      </c>
    </row>
    <row r="318" spans="1:4" x14ac:dyDescent="0.3">
      <c r="A318" s="2" t="s">
        <v>927</v>
      </c>
      <c r="B318">
        <v>1</v>
      </c>
      <c r="D318">
        <v>1</v>
      </c>
    </row>
    <row r="319" spans="1:4" x14ac:dyDescent="0.3">
      <c r="A319" s="2" t="s">
        <v>930</v>
      </c>
      <c r="B319">
        <v>1</v>
      </c>
      <c r="D319">
        <v>1</v>
      </c>
    </row>
    <row r="320" spans="1:4" x14ac:dyDescent="0.3">
      <c r="A320" s="2" t="s">
        <v>933</v>
      </c>
      <c r="B320">
        <v>1</v>
      </c>
      <c r="D320">
        <v>1</v>
      </c>
    </row>
    <row r="321" spans="1:4" x14ac:dyDescent="0.3">
      <c r="A321" s="2" t="s">
        <v>936</v>
      </c>
      <c r="B321">
        <v>1</v>
      </c>
      <c r="D321">
        <v>1</v>
      </c>
    </row>
    <row r="322" spans="1:4" x14ac:dyDescent="0.3">
      <c r="A322" s="2" t="s">
        <v>939</v>
      </c>
      <c r="C322">
        <v>1</v>
      </c>
      <c r="D322">
        <v>1</v>
      </c>
    </row>
    <row r="323" spans="1:4" x14ac:dyDescent="0.3">
      <c r="A323" s="2" t="s">
        <v>942</v>
      </c>
      <c r="C323">
        <v>1</v>
      </c>
      <c r="D323">
        <v>1</v>
      </c>
    </row>
    <row r="324" spans="1:4" x14ac:dyDescent="0.3">
      <c r="A324" s="2" t="s">
        <v>945</v>
      </c>
      <c r="B324">
        <v>1</v>
      </c>
      <c r="D324">
        <v>1</v>
      </c>
    </row>
    <row r="325" spans="1:4" x14ac:dyDescent="0.3">
      <c r="A325" s="2" t="s">
        <v>948</v>
      </c>
      <c r="C325">
        <v>1</v>
      </c>
      <c r="D325">
        <v>1</v>
      </c>
    </row>
    <row r="326" spans="1:4" x14ac:dyDescent="0.3">
      <c r="A326" s="2" t="s">
        <v>951</v>
      </c>
      <c r="B326">
        <v>1</v>
      </c>
      <c r="D326">
        <v>1</v>
      </c>
    </row>
    <row r="327" spans="1:4" x14ac:dyDescent="0.3">
      <c r="A327" s="2" t="s">
        <v>954</v>
      </c>
      <c r="B327">
        <v>1</v>
      </c>
      <c r="D327">
        <v>1</v>
      </c>
    </row>
    <row r="328" spans="1:4" x14ac:dyDescent="0.3">
      <c r="A328" s="2" t="s">
        <v>957</v>
      </c>
      <c r="B328">
        <v>1</v>
      </c>
      <c r="D328">
        <v>1</v>
      </c>
    </row>
    <row r="329" spans="1:4" x14ac:dyDescent="0.3">
      <c r="A329" s="2" t="s">
        <v>960</v>
      </c>
      <c r="B329">
        <v>1</v>
      </c>
      <c r="D329">
        <v>1</v>
      </c>
    </row>
    <row r="330" spans="1:4" x14ac:dyDescent="0.3">
      <c r="A330" s="2" t="s">
        <v>963</v>
      </c>
      <c r="C330">
        <v>1</v>
      </c>
      <c r="D330">
        <v>1</v>
      </c>
    </row>
    <row r="331" spans="1:4" x14ac:dyDescent="0.3">
      <c r="A331" s="2" t="s">
        <v>966</v>
      </c>
      <c r="B331">
        <v>1</v>
      </c>
      <c r="D331">
        <v>1</v>
      </c>
    </row>
    <row r="332" spans="1:4" x14ac:dyDescent="0.3">
      <c r="A332" s="2" t="s">
        <v>969</v>
      </c>
      <c r="B332">
        <v>1</v>
      </c>
      <c r="D332">
        <v>1</v>
      </c>
    </row>
    <row r="333" spans="1:4" x14ac:dyDescent="0.3">
      <c r="A333" s="2" t="s">
        <v>972</v>
      </c>
      <c r="B333">
        <v>1</v>
      </c>
      <c r="D333">
        <v>1</v>
      </c>
    </row>
    <row r="334" spans="1:4" x14ac:dyDescent="0.3">
      <c r="A334" s="2" t="s">
        <v>975</v>
      </c>
      <c r="C334">
        <v>1</v>
      </c>
      <c r="D334">
        <v>1</v>
      </c>
    </row>
    <row r="335" spans="1:4" x14ac:dyDescent="0.3">
      <c r="A335" s="2" t="s">
        <v>978</v>
      </c>
      <c r="B335">
        <v>1</v>
      </c>
      <c r="D335">
        <v>1</v>
      </c>
    </row>
    <row r="336" spans="1:4" x14ac:dyDescent="0.3">
      <c r="A336" s="2" t="s">
        <v>981</v>
      </c>
      <c r="C336">
        <v>1</v>
      </c>
      <c r="D336">
        <v>1</v>
      </c>
    </row>
    <row r="337" spans="1:4" x14ac:dyDescent="0.3">
      <c r="A337" s="2" t="s">
        <v>984</v>
      </c>
      <c r="B337">
        <v>1</v>
      </c>
      <c r="D337">
        <v>1</v>
      </c>
    </row>
    <row r="338" spans="1:4" x14ac:dyDescent="0.3">
      <c r="A338" s="2" t="s">
        <v>987</v>
      </c>
      <c r="B338">
        <v>1</v>
      </c>
      <c r="D338">
        <v>1</v>
      </c>
    </row>
    <row r="339" spans="1:4" x14ac:dyDescent="0.3">
      <c r="A339" s="2" t="s">
        <v>990</v>
      </c>
      <c r="B339">
        <v>1</v>
      </c>
      <c r="D339">
        <v>1</v>
      </c>
    </row>
    <row r="340" spans="1:4" x14ac:dyDescent="0.3">
      <c r="A340" s="2" t="s">
        <v>992</v>
      </c>
      <c r="C340">
        <v>1</v>
      </c>
      <c r="D340">
        <v>1</v>
      </c>
    </row>
    <row r="341" spans="1:4" x14ac:dyDescent="0.3">
      <c r="A341" s="2" t="s">
        <v>994</v>
      </c>
      <c r="B341">
        <v>1</v>
      </c>
      <c r="D341">
        <v>1</v>
      </c>
    </row>
    <row r="342" spans="1:4" x14ac:dyDescent="0.3">
      <c r="A342" s="2" t="s">
        <v>997</v>
      </c>
      <c r="C342">
        <v>1</v>
      </c>
      <c r="D342">
        <v>1</v>
      </c>
    </row>
    <row r="343" spans="1:4" x14ac:dyDescent="0.3">
      <c r="A343" s="2" t="s">
        <v>1000</v>
      </c>
      <c r="B343">
        <v>1</v>
      </c>
      <c r="D343">
        <v>1</v>
      </c>
    </row>
    <row r="344" spans="1:4" x14ac:dyDescent="0.3">
      <c r="A344" s="2" t="s">
        <v>1003</v>
      </c>
      <c r="B344">
        <v>1</v>
      </c>
      <c r="D344">
        <v>1</v>
      </c>
    </row>
    <row r="345" spans="1:4" x14ac:dyDescent="0.3">
      <c r="A345" s="2" t="s">
        <v>1006</v>
      </c>
      <c r="B345">
        <v>1</v>
      </c>
      <c r="D345">
        <v>1</v>
      </c>
    </row>
    <row r="346" spans="1:4" x14ac:dyDescent="0.3">
      <c r="A346" s="2" t="s">
        <v>1009</v>
      </c>
      <c r="B346">
        <v>1</v>
      </c>
      <c r="D346">
        <v>1</v>
      </c>
    </row>
    <row r="347" spans="1:4" x14ac:dyDescent="0.3">
      <c r="A347" s="2" t="s">
        <v>1012</v>
      </c>
      <c r="B347">
        <v>1</v>
      </c>
      <c r="D347">
        <v>1</v>
      </c>
    </row>
    <row r="348" spans="1:4" x14ac:dyDescent="0.3">
      <c r="A348" s="2" t="s">
        <v>1016</v>
      </c>
      <c r="B348">
        <v>196</v>
      </c>
      <c r="C348">
        <v>147</v>
      </c>
      <c r="D348">
        <v>343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Chamados no Jira</vt:lpstr>
      <vt:lpstr>Feriado 2026</vt:lpstr>
      <vt:lpstr>Dias em Atraso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Damasceno, Carlos Eduardo (Midea Carrier)</dc:creator>
  <cp:lastModifiedBy>Damasceno, Carlos Eduardo (Midea Carrier)</cp:lastModifiedBy>
  <dcterms:created xsi:type="dcterms:W3CDTF">2026-01-10T22:13:05Z</dcterms:created>
  <dcterms:modified xsi:type="dcterms:W3CDTF">2026-01-13T20:24:16Z</dcterms:modified>
</cp:coreProperties>
</file>